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udeloitte-my.sharepoint.com/personal/mgoethel_deloitte_de/Documents/Documents/Projekt/SynchFolder/DUS/"/>
    </mc:Choice>
  </mc:AlternateContent>
  <xr:revisionPtr revIDLastSave="41" documentId="8_{5C260F46-EC54-41AB-AAD4-FF88C4C7A07D}" xr6:coauthVersionLast="47" xr6:coauthVersionMax="47" xr10:uidLastSave="{75CE3084-BF23-4254-BC83-D7F42DD47CD9}"/>
  <bookViews>
    <workbookView xWindow="-120" yWindow="-120" windowWidth="38640" windowHeight="21120" xr2:uid="{FC069E69-F70E-4BCF-9679-BED290F6F4ED}"/>
  </bookViews>
  <sheets>
    <sheet name="SAP-Auszug" sheetId="5" r:id="rId1"/>
    <sheet name="Bilanz" sheetId="1" r:id="rId2"/>
    <sheet name="G+V" sheetId="2" r:id="rId3"/>
  </sheets>
  <definedNames>
    <definedName name="_xlnm.Print_Area" localSheetId="1">Bilanz!$A$1:$P$85</definedName>
    <definedName name="_xlnm.Print_Area" localSheetId="2">'G+V'!$A$1:$E$56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2" l="1"/>
  <c r="D52" i="2"/>
  <c r="E48" i="2"/>
  <c r="D48" i="2"/>
  <c r="E46" i="2"/>
  <c r="D46" i="2"/>
  <c r="E44" i="2"/>
  <c r="D44" i="2"/>
  <c r="E42" i="2"/>
  <c r="D42" i="2"/>
  <c r="E40" i="2"/>
  <c r="D40" i="2"/>
  <c r="E38" i="2"/>
  <c r="D38" i="2"/>
  <c r="E36" i="2"/>
  <c r="D36" i="2"/>
  <c r="D34" i="2"/>
  <c r="E32" i="2"/>
  <c r="D32" i="2"/>
  <c r="E29" i="2"/>
  <c r="D29" i="2"/>
  <c r="E28" i="2"/>
  <c r="D28" i="2"/>
  <c r="E25" i="2"/>
  <c r="D25" i="2"/>
  <c r="E24" i="2"/>
  <c r="D24" i="2"/>
  <c r="D21" i="2"/>
  <c r="E19" i="2"/>
  <c r="D19" i="2"/>
  <c r="E17" i="2"/>
  <c r="D17" i="2"/>
  <c r="P55" i="1"/>
  <c r="O55" i="1"/>
  <c r="P49" i="1"/>
  <c r="N49" i="1"/>
  <c r="P48" i="1"/>
  <c r="N48" i="1"/>
  <c r="P46" i="1"/>
  <c r="N46" i="1"/>
  <c r="P45" i="1"/>
  <c r="N45" i="1"/>
  <c r="P44" i="1"/>
  <c r="N44" i="1"/>
  <c r="P43" i="1"/>
  <c r="N43" i="1"/>
  <c r="P42" i="1"/>
  <c r="N42" i="1"/>
  <c r="P36" i="1"/>
  <c r="N36" i="1"/>
  <c r="P35" i="1"/>
  <c r="N35" i="1"/>
  <c r="P34" i="1"/>
  <c r="N34" i="1"/>
  <c r="P28" i="1"/>
  <c r="O28" i="1"/>
  <c r="P25" i="1"/>
  <c r="O25" i="1"/>
  <c r="P21" i="1"/>
  <c r="N21" i="1"/>
  <c r="P20" i="1"/>
  <c r="N20" i="1"/>
  <c r="P19" i="1"/>
  <c r="N19" i="1"/>
  <c r="P18" i="1"/>
  <c r="N18" i="1"/>
  <c r="P17" i="1"/>
  <c r="N17" i="1"/>
  <c r="P16" i="1"/>
  <c r="N16" i="1"/>
  <c r="H81" i="1"/>
  <c r="G81" i="1"/>
  <c r="H78" i="1"/>
  <c r="G78" i="1"/>
  <c r="H74" i="1"/>
  <c r="G74" i="1"/>
  <c r="H70" i="1"/>
  <c r="G70" i="1"/>
  <c r="H67" i="1"/>
  <c r="F67" i="1"/>
  <c r="H66" i="1"/>
  <c r="F66" i="1"/>
  <c r="H64" i="1"/>
  <c r="F64" i="1"/>
  <c r="H63" i="1"/>
  <c r="F63" i="1"/>
  <c r="H58" i="1"/>
  <c r="G58" i="1"/>
  <c r="H48" i="1"/>
  <c r="F48" i="1"/>
  <c r="H47" i="1"/>
  <c r="F47" i="1"/>
  <c r="H45" i="1"/>
  <c r="F45" i="1"/>
  <c r="H44" i="1"/>
  <c r="F44" i="1"/>
  <c r="H38" i="1"/>
  <c r="F38" i="1"/>
  <c r="H37" i="1"/>
  <c r="F37" i="1"/>
  <c r="H36" i="1"/>
  <c r="F36" i="1"/>
  <c r="H35" i="1"/>
  <c r="F35" i="1"/>
  <c r="H33" i="1"/>
  <c r="F33" i="1"/>
  <c r="H32" i="1"/>
  <c r="F32" i="1"/>
  <c r="H31" i="1"/>
  <c r="F31" i="1"/>
  <c r="H30" i="1"/>
  <c r="F30" i="1"/>
  <c r="H21" i="1"/>
  <c r="F21" i="1"/>
  <c r="H20" i="1"/>
  <c r="F20" i="1"/>
  <c r="P37" i="1" l="1"/>
  <c r="E26" i="2"/>
  <c r="D26" i="2"/>
  <c r="N3" i="1"/>
  <c r="E8" i="2"/>
  <c r="E30" i="2"/>
  <c r="D30" i="2"/>
  <c r="O50" i="1" l="1"/>
  <c r="P50" i="1"/>
  <c r="P86" i="1" s="1"/>
  <c r="O37" i="1"/>
  <c r="P22" i="1"/>
  <c r="O22" i="1"/>
  <c r="H68" i="1"/>
  <c r="H72" i="1" s="1"/>
  <c r="G68" i="1"/>
  <c r="G72" i="1" s="1"/>
  <c r="G49" i="1"/>
  <c r="H49" i="1"/>
  <c r="G39" i="1"/>
  <c r="H39" i="1"/>
  <c r="G22" i="1"/>
  <c r="G51" i="1" s="1"/>
  <c r="H22" i="1"/>
  <c r="E50" i="2"/>
  <c r="E55" i="2" s="1"/>
  <c r="D50" i="2"/>
  <c r="D55" i="2" s="1"/>
  <c r="O90" i="1"/>
  <c r="O86" i="1" l="1"/>
  <c r="O92" i="1" s="1"/>
  <c r="P84" i="1"/>
  <c r="O84" i="1"/>
  <c r="G87" i="1"/>
  <c r="G84" i="1"/>
  <c r="H51" i="1"/>
  <c r="H87" i="1"/>
  <c r="H84" i="1"/>
  <c r="P87" i="1" l="1"/>
  <c r="O87" i="1"/>
</calcChain>
</file>

<file path=xl/sharedStrings.xml><?xml version="1.0" encoding="utf-8"?>
<sst xmlns="http://schemas.openxmlformats.org/spreadsheetml/2006/main" count="3376" uniqueCount="1563">
  <si>
    <t>A K T I V A</t>
  </si>
  <si>
    <t>P A S S I V A</t>
  </si>
  <si>
    <t>EUR</t>
  </si>
  <si>
    <t>A.</t>
  </si>
  <si>
    <t>ANLAGEVERMÖGEN</t>
  </si>
  <si>
    <t>EIGENKAPITAL</t>
  </si>
  <si>
    <t>I.</t>
  </si>
  <si>
    <t>Immaterielle Vermögensgegenstände</t>
  </si>
  <si>
    <t>Gezeichnetes Kapital</t>
  </si>
  <si>
    <t>II.</t>
  </si>
  <si>
    <t>Kapitalrücklage</t>
  </si>
  <si>
    <t>1.</t>
  </si>
  <si>
    <t>III.</t>
  </si>
  <si>
    <t>Gewinnrücklagen (andere Gewinnrücklagen)</t>
  </si>
  <si>
    <t>IV.</t>
  </si>
  <si>
    <t>und Werten</t>
  </si>
  <si>
    <t>2.</t>
  </si>
  <si>
    <t>3.</t>
  </si>
  <si>
    <t>B.</t>
  </si>
  <si>
    <t>Sachanlagen</t>
  </si>
  <si>
    <t>Grundstücke, grundstücksgleiche Rechte und Bauten</t>
  </si>
  <si>
    <t>einschließlich der Bauten auf fremden Grundstücken</t>
  </si>
  <si>
    <t>C.</t>
  </si>
  <si>
    <t>SONDERPOSTEN FÜR INVESTITIONSZUSCHÜSSE</t>
  </si>
  <si>
    <t>Technische Anlagen und Maschinen</t>
  </si>
  <si>
    <t>ZU SACHANLAGEN</t>
  </si>
  <si>
    <t>Andere Anlagen, Betriebs- und Geschäftsausstattung</t>
  </si>
  <si>
    <t>4.</t>
  </si>
  <si>
    <t>Geleistete Anzahlungen und Anlagen im Bau</t>
  </si>
  <si>
    <t>D.</t>
  </si>
  <si>
    <t>RÜCKSTELLUNGEN</t>
  </si>
  <si>
    <t>Rückstellungen für Pensionen und ähnliche Verpflichtungen</t>
  </si>
  <si>
    <t>Finanzanlagen</t>
  </si>
  <si>
    <t>Steuerrückstellungen</t>
  </si>
  <si>
    <t>Sonstige Rückstellungen</t>
  </si>
  <si>
    <t>Beteiligungen</t>
  </si>
  <si>
    <t>Sonstige Ausleihungen</t>
  </si>
  <si>
    <t>E.</t>
  </si>
  <si>
    <t>VERBINDLICHKEITEN</t>
  </si>
  <si>
    <t>Verbindlichkeiten gegenüber Kreditinstituten</t>
  </si>
  <si>
    <t>Verbindlichkeiten aus Lieferungen und Leistungen</t>
  </si>
  <si>
    <t>UMLAUFVERMÖGEN</t>
  </si>
  <si>
    <t>Sonstige Verbindlichkeiten</t>
  </si>
  <si>
    <t>Vorräte</t>
  </si>
  <si>
    <t>Roh-, Hilfs- und Betriebsstoffe</t>
  </si>
  <si>
    <t>Forderungen und sonstige Vermögensgegenstände</t>
  </si>
  <si>
    <t>F.</t>
  </si>
  <si>
    <t>RECHNUNGSABGRENZUNGSPOSTEN</t>
  </si>
  <si>
    <t>Forderungen aus Lieferungen und Leistungen</t>
  </si>
  <si>
    <t xml:space="preserve">3. </t>
  </si>
  <si>
    <t>Sonstige Vermögensgegenstände</t>
  </si>
  <si>
    <t>Flüssige Mittel</t>
  </si>
  <si>
    <t>der</t>
  </si>
  <si>
    <t>Flughafen Düsseldorf GmbH, Düsseldorf</t>
  </si>
  <si>
    <t>01.01.-31.12.</t>
  </si>
  <si>
    <t>Umsatzerlöse</t>
  </si>
  <si>
    <t>Andere aktivierte Eigenleistungen</t>
  </si>
  <si>
    <t>Sonstige betriebliche Erträge</t>
  </si>
  <si>
    <t>5.</t>
  </si>
  <si>
    <t>Materialaufwand</t>
  </si>
  <si>
    <t>a)</t>
  </si>
  <si>
    <t>Aufwendungen für Roh-, Hilfs- und Betriebsstoffe</t>
  </si>
  <si>
    <t>b)</t>
  </si>
  <si>
    <t>Aufwendungen für bezogene Leistungen</t>
  </si>
  <si>
    <t>Personalaufwand</t>
  </si>
  <si>
    <t>Löhne und Gehälter</t>
  </si>
  <si>
    <t>7.</t>
  </si>
  <si>
    <t>8.</t>
  </si>
  <si>
    <t>Sonstige betriebliche Aufwendungen</t>
  </si>
  <si>
    <t>9.</t>
  </si>
  <si>
    <t>Erträge aus Beteiligungen</t>
  </si>
  <si>
    <t>10.</t>
  </si>
  <si>
    <t>11.</t>
  </si>
  <si>
    <t>Sonstige Zinsen und ähnliche Erträge</t>
  </si>
  <si>
    <t>12.</t>
  </si>
  <si>
    <t>13.</t>
  </si>
  <si>
    <t>Zinsen und ähnliche Aufwendungen</t>
  </si>
  <si>
    <t>14.</t>
  </si>
  <si>
    <t>Steuern vom Einkommen und vom Ertrag</t>
  </si>
  <si>
    <t>Sonstige Steuern</t>
  </si>
  <si>
    <t>17.</t>
  </si>
  <si>
    <t>Abschreibungen auf immaterielle Vermögensgegenstände des Anlagevermögens und Sachanlagen</t>
  </si>
  <si>
    <t>Gewinn- und Verlustrechnung</t>
  </si>
  <si>
    <t>Soziale Abgaben und Aufwendungen für Altersversorgung und für Unterstützung</t>
  </si>
  <si>
    <t>6.</t>
  </si>
  <si>
    <t>Erträge aus Gewinnabführungsverträgen</t>
  </si>
  <si>
    <t>Aufwendungen aus Verlustübernahme</t>
  </si>
  <si>
    <t>b) Grundstücke mit Wohnbauten</t>
  </si>
  <si>
    <t>c) Grundstücke ohne Bauten</t>
  </si>
  <si>
    <t>a) Flughafenanlagen</t>
  </si>
  <si>
    <t>b) Betriebsanlagen</t>
  </si>
  <si>
    <t>Anteile an verbundenen Unternehmen</t>
  </si>
  <si>
    <t>Forderungen gegen verbundene Unternehmen</t>
  </si>
  <si>
    <t>SONDERPOSTEN MIT RÜCKLAGEANTEIL</t>
  </si>
  <si>
    <t>Verbindlichkeiten gegenüber verbundenen Unternehmen</t>
  </si>
  <si>
    <t>mit denen ein Beteiligungsverhältnis besteht</t>
  </si>
  <si>
    <t>Verbindlichkeiten gegenüber Unternehmen,</t>
  </si>
  <si>
    <t>Forderungen gegen Unternehmen,</t>
  </si>
  <si>
    <t>d) Erbbaurechte</t>
  </si>
  <si>
    <t>Ergebnis nach Steuern</t>
  </si>
  <si>
    <t xml:space="preserve">Entgeltlich erworbene Konzessionen, gewerbliche Schutzrechte </t>
  </si>
  <si>
    <t xml:space="preserve">und ähnliche Rechte und Werte sowie Lizenzen an solchen Rechten </t>
  </si>
  <si>
    <t>Nicht durch Eigenkapital gedeckter Fehlbetrag</t>
  </si>
  <si>
    <t>Verbindlichkeiten gegenüber Gesellschaftern</t>
  </si>
  <si>
    <t>V.</t>
  </si>
  <si>
    <t>VI.</t>
  </si>
  <si>
    <t>NICHT DURCH EIGENKAPITAL GEDECKTER FEHLBETRAG</t>
  </si>
  <si>
    <t xml:space="preserve">2. </t>
  </si>
  <si>
    <t>Geleistete  Anzahlungen</t>
  </si>
  <si>
    <t xml:space="preserve">E. </t>
  </si>
  <si>
    <t>Verbindlichkeiten gegenüber weiteren Darlehensgebern</t>
  </si>
  <si>
    <t xml:space="preserve">AKTIVER UNTERSCHIEDSBETRAG AUS DER </t>
  </si>
  <si>
    <t>VERMÖGENSVERRECHNUNG</t>
  </si>
  <si>
    <t>Verlustvortrag</t>
  </si>
  <si>
    <t xml:space="preserve">Ausleihungen an Unternehmen mit denen ein Beteiligungsverhältnis </t>
  </si>
  <si>
    <t>besteht</t>
  </si>
  <si>
    <t xml:space="preserve">4. </t>
  </si>
  <si>
    <t>Jahresüberschuss/Jahresfehlbetrag</t>
  </si>
  <si>
    <t xml:space="preserve">15. </t>
  </si>
  <si>
    <t>16.</t>
  </si>
  <si>
    <t>a) Flughafenbauten inkl. Grundstücke</t>
  </si>
  <si>
    <t>Jahresüberschuss</t>
  </si>
  <si>
    <t>Bilanz zum 31. Dezember 2025</t>
  </si>
  <si>
    <t>für den Zeitraum vom 01. Januar bis 31. Dezember 2025</t>
  </si>
  <si>
    <t>Bilanz/GuV-Position</t>
  </si>
  <si>
    <t>Text Bilanz/GuV-Position</t>
  </si>
  <si>
    <t>Summe der Berichtsperiode</t>
  </si>
  <si>
    <t>Summe der Vergleichsperiode</t>
  </si>
  <si>
    <t>Absolute Abweichung</t>
  </si>
  <si>
    <t>Relative Abweichung</t>
  </si>
  <si>
    <t>1000000</t>
  </si>
  <si>
    <t>A k t i v a</t>
  </si>
  <si>
    <t/>
  </si>
  <si>
    <t>===========</t>
  </si>
  <si>
    <t>1030000</t>
  </si>
  <si>
    <t>A. Anlagevermögen</t>
  </si>
  <si>
    <t>=================</t>
  </si>
  <si>
    <t>1031000</t>
  </si>
  <si>
    <t>I. Immaterielle Vermögensgegenstände</t>
  </si>
  <si>
    <t>===================================</t>
  </si>
  <si>
    <t>1031010</t>
  </si>
  <si>
    <t>1. Entgeltlich erworbene Konzessionen,</t>
  </si>
  <si>
    <t>gewerbliche Schutzrechte und ähnliche</t>
  </si>
  <si>
    <t>Rechte und Werte sowie Lizenzen an</t>
  </si>
  <si>
    <t>solchen Rechten und Werten</t>
  </si>
  <si>
    <t>1031011</t>
  </si>
  <si>
    <t>Software und sonstige immaterielle WG</t>
  </si>
  <si>
    <t>=========================================</t>
  </si>
  <si>
    <t>050000 Software und sonstige immat. Wirtschaftsgüter</t>
  </si>
  <si>
    <t>2,8-</t>
  </si>
  <si>
    <t>Summe Software und sonstige immaterielle WG</t>
  </si>
  <si>
    <t>1031030</t>
  </si>
  <si>
    <t>2. Geleistete Anzahlungen</t>
  </si>
  <si>
    <t>=====================</t>
  </si>
  <si>
    <t>1031031</t>
  </si>
  <si>
    <t>050090 Software Anzahlungen</t>
  </si>
  <si>
    <t>32,4-</t>
  </si>
  <si>
    <t>Summe Immaterielle Vermögensgegenstände</t>
  </si>
  <si>
    <t>2,9-</t>
  </si>
  <si>
    <t>=======================================</t>
  </si>
  <si>
    <t>1032000</t>
  </si>
  <si>
    <t>II. Sachanlagen</t>
  </si>
  <si>
    <t>============</t>
  </si>
  <si>
    <t>1032010</t>
  </si>
  <si>
    <t>1. Grundstücke, grundstücksgleiche Rechte und</t>
  </si>
  <si>
    <t>Bauten einschließlich der Bauten auf</t>
  </si>
  <si>
    <t>fremden Grundstücken</t>
  </si>
  <si>
    <t>======================================</t>
  </si>
  <si>
    <t>1032011</t>
  </si>
  <si>
    <t>Flughafenbauten (inkl. Grundstücke)</t>
  </si>
  <si>
    <t>010000 Bauten auf eig.Grundstücken +grundstücksgl.Rechten</t>
  </si>
  <si>
    <t>5,5-</t>
  </si>
  <si>
    <t>1032012</t>
  </si>
  <si>
    <t>Grundstücke mit Wohnbauten</t>
  </si>
  <si>
    <t>011000 Bebaute Wohngrundstücke (Flank. Massnahmen)</t>
  </si>
  <si>
    <t>2,0-</t>
  </si>
  <si>
    <t>1032013</t>
  </si>
  <si>
    <t>Grundstücke ohne Bauten</t>
  </si>
  <si>
    <t>012000 Grundstücke</t>
  </si>
  <si>
    <t>0,0</t>
  </si>
  <si>
    <t>1032014</t>
  </si>
  <si>
    <t>Erbbaurechte</t>
  </si>
  <si>
    <t>013000 Grundstücksgleiche Rechte ohne Bauten</t>
  </si>
  <si>
    <t>4,6-</t>
  </si>
  <si>
    <t>Summe Grundstücke, grundstücksgleiche Rechte</t>
  </si>
  <si>
    <t>5,2-</t>
  </si>
  <si>
    <t>und Bauten einschließlich der Bauten auf</t>
  </si>
  <si>
    <t>1032020</t>
  </si>
  <si>
    <t>2. Technische Anlagen und Maschinen</t>
  </si>
  <si>
    <t>===============================</t>
  </si>
  <si>
    <t>1032021</t>
  </si>
  <si>
    <t>Flughafenanlagen</t>
  </si>
  <si>
    <t>020000 Außenanlagen / Flughafenanlagen</t>
  </si>
  <si>
    <t>6,0</t>
  </si>
  <si>
    <t>1032022</t>
  </si>
  <si>
    <t>Betriebsanlagen</t>
  </si>
  <si>
    <t>030000 Betriebsanlagen</t>
  </si>
  <si>
    <t>Summe Technische Anlagen und Maschinen</t>
  </si>
  <si>
    <t>1,9</t>
  </si>
  <si>
    <t>1032030</t>
  </si>
  <si>
    <t>3. Andere Anlagen, Betriebs- und</t>
  </si>
  <si>
    <t>Geschäftsausstattung</t>
  </si>
  <si>
    <t>==========================</t>
  </si>
  <si>
    <t>1032031</t>
  </si>
  <si>
    <t>040000 Betriebs- und Geschäftsausstattung</t>
  </si>
  <si>
    <t>1,7</t>
  </si>
  <si>
    <t>SUMME ANDERE ANLAGEN SOWIE BETRIEBS- UND</t>
  </si>
  <si>
    <t>GESCHAEFTSAUSSTATTUNG</t>
  </si>
  <si>
    <t>1032040</t>
  </si>
  <si>
    <t>4. Geleistete Anzahlungen und Anlagen im Bau</t>
  </si>
  <si>
    <t>=====================================</t>
  </si>
  <si>
    <t>1032041</t>
  </si>
  <si>
    <t>058009 Im Bau befindliche Anlagen + gel. Anzahlungen</t>
  </si>
  <si>
    <t>48,2</t>
  </si>
  <si>
    <t>SUMME GELEISTETE ANZAHLUNGEN UND ANLAGEN</t>
  </si>
  <si>
    <t>IM BAU</t>
  </si>
  <si>
    <t>Summe Sachanlagen</t>
  </si>
  <si>
    <t>1,2</t>
  </si>
  <si>
    <t>1033000</t>
  </si>
  <si>
    <t>1033010</t>
  </si>
  <si>
    <t>==============================</t>
  </si>
  <si>
    <t>065015 Beteiligung FD Immobilien GmbH</t>
  </si>
  <si>
    <t>065016 Beteiligung FD Ground Handling GmbH</t>
  </si>
  <si>
    <t>065019 Beteiligung Flughafen Düsseldorf Security GmbH</t>
  </si>
  <si>
    <t>065022 Beteiligung FD Energie GmbH</t>
  </si>
  <si>
    <t>Summe Anteile an verbundenen Unternehmen</t>
  </si>
  <si>
    <t>1033030</t>
  </si>
  <si>
    <t>1033030/00</t>
  </si>
  <si>
    <t>065018 Beteiligung SITA Airport IT GmbH</t>
  </si>
  <si>
    <t>065025 Beteiligung Flughafengesell. Mönchengladbach GmbH</t>
  </si>
  <si>
    <t>067000 Beteiligung Swissport DUS Cargo Sevices GmbH</t>
  </si>
  <si>
    <t>Summe Beteiligungen</t>
  </si>
  <si>
    <t>-------------------</t>
  </si>
  <si>
    <t>1033040</t>
  </si>
  <si>
    <t>Ausleihungen an Unternehmen, mit denen ein</t>
  </si>
  <si>
    <t>Beteiligungsverhältnis besteht</t>
  </si>
  <si>
    <t>1033042</t>
  </si>
  <si>
    <t>Mit einer Rstlaufzeit über einem Jahr</t>
  </si>
  <si>
    <t>-----------------------------------------</t>
  </si>
  <si>
    <t>066002 Darlehen Flughafen Düsseldorf Cargo GmbH</t>
  </si>
  <si>
    <t>71,4-</t>
  </si>
  <si>
    <t>Summe Ausleihungen an Unternehmen, mit denen</t>
  </si>
  <si>
    <t>ein Beteiligungsverhältnis besteht</t>
  </si>
  <si>
    <t>1033060</t>
  </si>
  <si>
    <t>===================</t>
  </si>
  <si>
    <t>1033062</t>
  </si>
  <si>
    <t>064009 Arbeitgeberdarlehen - Hauptbuchkonto</t>
  </si>
  <si>
    <t>44,7-</t>
  </si>
  <si>
    <t>Summe Sonstige Ausleihungen</t>
  </si>
  <si>
    <t>Summe Finanzanlagen</t>
  </si>
  <si>
    <t>4,9-</t>
  </si>
  <si>
    <t>Summe Anlagevermögen</t>
  </si>
  <si>
    <t>1,0</t>
  </si>
  <si>
    <t>====================</t>
  </si>
  <si>
    <t>1040000</t>
  </si>
  <si>
    <t>Umlaufvermögen</t>
  </si>
  <si>
    <t>==============</t>
  </si>
  <si>
    <t>1041000</t>
  </si>
  <si>
    <t>======</t>
  </si>
  <si>
    <t>1041010</t>
  </si>
  <si>
    <t>-------------------------------</t>
  </si>
  <si>
    <t>099200 Wertberichtigung Altbestand Lagermaterial</t>
  </si>
  <si>
    <t>300019 Material für Kraftfahrzeugwerkstatt</t>
  </si>
  <si>
    <t>10,2</t>
  </si>
  <si>
    <t>300029 Material für Klempnerei</t>
  </si>
  <si>
    <t>15,9-</t>
  </si>
  <si>
    <t>300039 Material für Schreinerei / Schlüsseldienst</t>
  </si>
  <si>
    <t>300049 Material für Normteile</t>
  </si>
  <si>
    <t>300059 Material für Mechanikerwerkstatt</t>
  </si>
  <si>
    <t>1,6</t>
  </si>
  <si>
    <t>300069 Material für Heizungsdienst</t>
  </si>
  <si>
    <t>573,7</t>
  </si>
  <si>
    <t>300079 Material für Schlosserei</t>
  </si>
  <si>
    <t>8,4-</t>
  </si>
  <si>
    <t>300089 Material für Elektrowerkstatt</t>
  </si>
  <si>
    <t>0,5-</t>
  </si>
  <si>
    <t>300099 Material für Hf-Werkstatt</t>
  </si>
  <si>
    <t>4,5</t>
  </si>
  <si>
    <t>300109 Verbrauchsmaterial</t>
  </si>
  <si>
    <t>0,8-</t>
  </si>
  <si>
    <t>300119 Kfz-Betriebsstoffe/Heizstoffe/Öle/Enteisung</t>
  </si>
  <si>
    <t>7,5-</t>
  </si>
  <si>
    <t>300139 Material für Bauabteilung</t>
  </si>
  <si>
    <t>2,7-</t>
  </si>
  <si>
    <t>300149 Werkzeuge</t>
  </si>
  <si>
    <t>4,7-</t>
  </si>
  <si>
    <t>300159 Berufs-und Schutzkleidung</t>
  </si>
  <si>
    <t>17,6</t>
  </si>
  <si>
    <t>300169 Material für Malerwerkstatt</t>
  </si>
  <si>
    <t>8,8-</t>
  </si>
  <si>
    <t>300219 Material - Werbegeschenke &lt; 35 EUR</t>
  </si>
  <si>
    <t>57,8-</t>
  </si>
  <si>
    <t>300239 Heizstoffe</t>
  </si>
  <si>
    <t>22,6-</t>
  </si>
  <si>
    <t>300249 Enteisungsmittel</t>
  </si>
  <si>
    <t>15,1</t>
  </si>
  <si>
    <t>328000 Werbegeschenke (PR)</t>
  </si>
  <si>
    <t>100,0-</t>
  </si>
  <si>
    <t>328001 Werbegeschenke (Kleingeschenke)</t>
  </si>
  <si>
    <t>330000 Goldnadeln für Jubilare</t>
  </si>
  <si>
    <t>Summe Roh-, Hilfs- und Betriebsstoffe</t>
  </si>
  <si>
    <t>5,0</t>
  </si>
  <si>
    <t>Summe Vorräte</t>
  </si>
  <si>
    <t>=============</t>
  </si>
  <si>
    <t>1042000</t>
  </si>
  <si>
    <t>Forderungen und Sonstige Vermögens-</t>
  </si>
  <si>
    <t>gegenstände</t>
  </si>
  <si>
    <t>================================</t>
  </si>
  <si>
    <t>1042010</t>
  </si>
  <si>
    <t>====================================</t>
  </si>
  <si>
    <t>1042011</t>
  </si>
  <si>
    <t>MIT EINER RESTLAUFZEIT BIS ZU EINEM JAHR</t>
  </si>
  <si>
    <t>========================================</t>
  </si>
  <si>
    <t>098000 Pauschalwertberichtigungen auf Forderungen</t>
  </si>
  <si>
    <t>26,3-</t>
  </si>
  <si>
    <t>099009 Einzelwertberichtigungen zu Forderungen</t>
  </si>
  <si>
    <t>47,5</t>
  </si>
  <si>
    <t>140000 Forderungen aus Lieferungen und Leistungen</t>
  </si>
  <si>
    <t>27,9</t>
  </si>
  <si>
    <t>140001 Forderungen aus L&amp;L (Kred.Debitoren)</t>
  </si>
  <si>
    <t>1,4-</t>
  </si>
  <si>
    <t>140010 Forderungen aus Lieferungen und Leistungen</t>
  </si>
  <si>
    <t>14,9-</t>
  </si>
  <si>
    <t>158011 VR Gepäckwägen</t>
  </si>
  <si>
    <t>16,6</t>
  </si>
  <si>
    <t>158012 VR Parkautomaten / Concardis</t>
  </si>
  <si>
    <t>158014 VR VIP / Concardis</t>
  </si>
  <si>
    <t>43,8-</t>
  </si>
  <si>
    <t>158015 VR Lounges / Concardis</t>
  </si>
  <si>
    <t>31,0-</t>
  </si>
  <si>
    <t>158016 VR Verkehrsleitung / Concardis</t>
  </si>
  <si>
    <t>158017 VR MOS Kreditkarten/Giro</t>
  </si>
  <si>
    <t>154,9</t>
  </si>
  <si>
    <t>158022 VR Fundbüro</t>
  </si>
  <si>
    <t>83,5-</t>
  </si>
  <si>
    <t>158023 VR MOS / Paypal</t>
  </si>
  <si>
    <t>72,4-</t>
  </si>
  <si>
    <t>199982 VR-Forderungen aus Schätzerlösen Pachtabgaben</t>
  </si>
  <si>
    <t>118,4</t>
  </si>
  <si>
    <t>SUMME FORDERUNGEN AUS LIEFERUNGEN UND</t>
  </si>
  <si>
    <t>LEISTUNGEN MIT EINER RESTLAUFZEIT BIS ZU</t>
  </si>
  <si>
    <t>EINEM JAHR</t>
  </si>
  <si>
    <t>1042030</t>
  </si>
  <si>
    <t>Forderung gegen verbundene Unternehmen</t>
  </si>
  <si>
    <t>==========================================</t>
  </si>
  <si>
    <t>1042031</t>
  </si>
  <si>
    <t>----------------------------------------</t>
  </si>
  <si>
    <t>1042031/03</t>
  </si>
  <si>
    <t>FD Immobilien</t>
  </si>
  <si>
    <t>159359 Forderungen gegen  FDI</t>
  </si>
  <si>
    <t>64,5-</t>
  </si>
  <si>
    <t>182159 Verbindlichkeiten gegenüber  FDI</t>
  </si>
  <si>
    <t>192000 VR - FDI  - Darlehen Cash-Pooling</t>
  </si>
  <si>
    <t>39,8-</t>
  </si>
  <si>
    <t>192200 VR - FDI</t>
  </si>
  <si>
    <t>102,8</t>
  </si>
  <si>
    <t>192420 VR - FDI - Ergebnisabführung</t>
  </si>
  <si>
    <t>21,9</t>
  </si>
  <si>
    <t>50,3-</t>
  </si>
  <si>
    <t>1042031/04</t>
  </si>
  <si>
    <t>FD Ground Handling GmbH</t>
  </si>
  <si>
    <t>159319 Forderungen gegen FDGHG</t>
  </si>
  <si>
    <t>74,2-</t>
  </si>
  <si>
    <t>182119 Verbindlichkeiten gegenüber FDGHG</t>
  </si>
  <si>
    <t>37,9</t>
  </si>
  <si>
    <t>192030 VR - FDGHG- Darlehen Cash-Pooling</t>
  </si>
  <si>
    <t>16,5-</t>
  </si>
  <si>
    <t>192230 VR - FDGHG</t>
  </si>
  <si>
    <t>143,2-</t>
  </si>
  <si>
    <t>20,3-</t>
  </si>
  <si>
    <t>1042031/06</t>
  </si>
  <si>
    <t>FD Energie GmbH</t>
  </si>
  <si>
    <t>159399 Forderungen gegen FDEG</t>
  </si>
  <si>
    <t>78,2</t>
  </si>
  <si>
    <t>182199 Verbindlichkeiten gegenüber  FDEnergie GmbH</t>
  </si>
  <si>
    <t>51,2-</t>
  </si>
  <si>
    <t>192080 VR - FDEG - Darlehen Cash-Pooling</t>
  </si>
  <si>
    <t>34,9-</t>
  </si>
  <si>
    <t>192250 VR - FDEG</t>
  </si>
  <si>
    <t>62,5-</t>
  </si>
  <si>
    <t>192450 VR - FDEG - Ergebnisabführung</t>
  </si>
  <si>
    <t>56,3</t>
  </si>
  <si>
    <t>23,9-</t>
  </si>
  <si>
    <t>SUMME FORDERUNG GEGEN VERBUNDENE UNTERNEHMEN</t>
  </si>
  <si>
    <t>1042040</t>
  </si>
  <si>
    <t>Forderungen gegen Unternehmen, mit denen ein</t>
  </si>
  <si>
    <t>============================================</t>
  </si>
  <si>
    <t>1042041</t>
  </si>
  <si>
    <t>159219 Forderungen gegen SITA Airport IT GmbH</t>
  </si>
  <si>
    <t>79,4-</t>
  </si>
  <si>
    <t>159224 Ford. gegen Swissport DUS Cargo Services GmbH</t>
  </si>
  <si>
    <t>276,5</t>
  </si>
  <si>
    <t>SUMME FORDERUNG GEGEN UNTERNEHMEN,</t>
  </si>
  <si>
    <t>123,5</t>
  </si>
  <si>
    <t>MIT DENEN EIN BETEILIGUNGSVERHAELTNIS BESTEHT</t>
  </si>
  <si>
    <t>1042050</t>
  </si>
  <si>
    <t>1042051</t>
  </si>
  <si>
    <t>151009 Forderungen aus Arbeitgeberdarlehen        .</t>
  </si>
  <si>
    <t>151019 Lohn-u. Gehaltsüberzahlung</t>
  </si>
  <si>
    <t>73,9</t>
  </si>
  <si>
    <t>151109 Sonstige Forderungen Mitarbeiter / durchl. Posten</t>
  </si>
  <si>
    <t>100,0</t>
  </si>
  <si>
    <t>151119 Kurzfr. Ford. aus Lohn/Gehaltsvorschüssen</t>
  </si>
  <si>
    <t>151129 Kurzfr. Ford. aus Lohn/Gehaltsabschlägen</t>
  </si>
  <si>
    <t>63,3-</t>
  </si>
  <si>
    <t>157009 Sonstige Forderungen                        .</t>
  </si>
  <si>
    <t>60,6-</t>
  </si>
  <si>
    <t>157100 Sonstige Forderungen (incl. Debit. Kreditoren)</t>
  </si>
  <si>
    <t>55,3-</t>
  </si>
  <si>
    <t>157920 Sonst. Forderungen aus überzahlter KSt.</t>
  </si>
  <si>
    <t>174200 FA-Dus-Nord - Umsatzsteuer</t>
  </si>
  <si>
    <t>907,5</t>
  </si>
  <si>
    <t>SUMME SONSTIGE VERMOEGENS-GEGENSTAENDE</t>
  </si>
  <si>
    <t>1042052</t>
  </si>
  <si>
    <t>157300 Steuerschuld gg.Zoll</t>
  </si>
  <si>
    <t>195500 VR - Stromsteuer</t>
  </si>
  <si>
    <t>1042054</t>
  </si>
  <si>
    <t>194500 VR - Hausgeld Niederrheinstr. 185</t>
  </si>
  <si>
    <t>16,7</t>
  </si>
  <si>
    <t>195024 VR -Spende PET</t>
  </si>
  <si>
    <t>8,5-</t>
  </si>
  <si>
    <t>1042055</t>
  </si>
  <si>
    <t>MIT EINER RESTLAUFZEIT VON MEHR ALS EIN. JAHR</t>
  </si>
  <si>
    <t>---------------------------------------------</t>
  </si>
  <si>
    <t>195028 VR-Leasing Mobilität</t>
  </si>
  <si>
    <t>155,9</t>
  </si>
  <si>
    <t>Summe Sonstige Vermögensgegenstände</t>
  </si>
  <si>
    <t>Summe Forderungen und Sonstige</t>
  </si>
  <si>
    <t>9,2</t>
  </si>
  <si>
    <t>Vermögensgegenstände</t>
  </si>
  <si>
    <t>1044000</t>
  </si>
  <si>
    <t>Schecks, Kassenbestand, Bundesbank- und Post-</t>
  </si>
  <si>
    <t>bankguthaben, Guthaben bei Kreditinstituten</t>
  </si>
  <si>
    <t>1044000/01</t>
  </si>
  <si>
    <t>Postbank Essen</t>
  </si>
  <si>
    <t>102000 Postbank Essen</t>
  </si>
  <si>
    <t>56,7-</t>
  </si>
  <si>
    <t>1044000/02</t>
  </si>
  <si>
    <t>Stadt-Sparkasse Düsseldorf</t>
  </si>
  <si>
    <t>110000 Stadt-Sparkasse Düsseldorf</t>
  </si>
  <si>
    <t>16,3-</t>
  </si>
  <si>
    <t>110001 Stadt-Sparkasse Düsseldorf - Tagesgeldkonto</t>
  </si>
  <si>
    <t>99,1-</t>
  </si>
  <si>
    <t>110013 Stadt-Sparkasse Dus - APCOA</t>
  </si>
  <si>
    <t>1.402,2</t>
  </si>
  <si>
    <t>110014 Stadt-Sparkasse Düsseldorf - Werbegemeinschaft</t>
  </si>
  <si>
    <t>110017 Stadt-Sparkasse Düsseldorf Fioport</t>
  </si>
  <si>
    <t>1,3-</t>
  </si>
  <si>
    <t>10,3-</t>
  </si>
  <si>
    <t>1044000/03</t>
  </si>
  <si>
    <t>LANDESBANK HESSEN-THÜRINGEN (HELABA)</t>
  </si>
  <si>
    <t>111000 Landesbank Hessen Thüringen (Helaba)</t>
  </si>
  <si>
    <t>70,4-</t>
  </si>
  <si>
    <t>1044000/10</t>
  </si>
  <si>
    <t>Commerzbank AG</t>
  </si>
  <si>
    <t>117170 Commerzbank AG, Düsseldorf</t>
  </si>
  <si>
    <t>69,3</t>
  </si>
  <si>
    <t>1044000/13</t>
  </si>
  <si>
    <t>110300 Termingeld/Festgeld</t>
  </si>
  <si>
    <t>25,0</t>
  </si>
  <si>
    <t>1044000/16</t>
  </si>
  <si>
    <t>120000 Landesbank Baden-Württemberg</t>
  </si>
  <si>
    <t>11,5-</t>
  </si>
  <si>
    <t>120001 Landesbank Baden-Württemberg-Liquiditätskonto</t>
  </si>
  <si>
    <t>80,4-</t>
  </si>
  <si>
    <t>66,3-</t>
  </si>
  <si>
    <t>1044000/17</t>
  </si>
  <si>
    <t>117010 Bayern LB</t>
  </si>
  <si>
    <t>39,0-</t>
  </si>
  <si>
    <t>1044000/18</t>
  </si>
  <si>
    <t>117100 Bayerische Hypo- und Vereinsbank AG</t>
  </si>
  <si>
    <t>180,7</t>
  </si>
  <si>
    <t>1044000/19</t>
  </si>
  <si>
    <t>117110 DZ Bank (vormals WGZ Bank)</t>
  </si>
  <si>
    <t>430,4</t>
  </si>
  <si>
    <t>1044000/20</t>
  </si>
  <si>
    <t>120100 Nord LB - Girokonto</t>
  </si>
  <si>
    <t>76,7-</t>
  </si>
  <si>
    <t>120101 Nord LB - Business Girokonto</t>
  </si>
  <si>
    <t>82,0-</t>
  </si>
  <si>
    <t>120110 Nord LB - Kapital Plus Business</t>
  </si>
  <si>
    <t>80,8-</t>
  </si>
  <si>
    <t>1044000/00</t>
  </si>
  <si>
    <t>100000 Hauptkasse</t>
  </si>
  <si>
    <t>8,6-</t>
  </si>
  <si>
    <t>101000 Portokasse</t>
  </si>
  <si>
    <t>11,6</t>
  </si>
  <si>
    <t>101117 Nebenkasse - Gerichtskostenmarken</t>
  </si>
  <si>
    <t>118,2</t>
  </si>
  <si>
    <t>101125 Wechselgeld - Kiss &amp; Fly</t>
  </si>
  <si>
    <t>Summe Schecks, Kassenbestand, Bundesbank-</t>
  </si>
  <si>
    <t>und Postbankguthaben, Guthaben bei</t>
  </si>
  <si>
    <t>Kreditinstituten</t>
  </si>
  <si>
    <t>Summe Umlaufvermögen</t>
  </si>
  <si>
    <t>7,7-</t>
  </si>
  <si>
    <t>1060000</t>
  </si>
  <si>
    <t>Rechnungsabgrenzungsposten</t>
  </si>
  <si>
    <t>===========================</t>
  </si>
  <si>
    <t>1062000</t>
  </si>
  <si>
    <t>Sonstige Rechnungsabgrenzungsposten</t>
  </si>
  <si>
    <t>091000 Aktive Rechnungsabgrenzung</t>
  </si>
  <si>
    <t>23,2-</t>
  </si>
  <si>
    <t>Summe Sonstige Rechnungsabgrenzungsposten</t>
  </si>
  <si>
    <t>Summe Rechnungsabgrenzungsposten</t>
  </si>
  <si>
    <t>=================================</t>
  </si>
  <si>
    <t>1080000</t>
  </si>
  <si>
    <t>Akt. Unterschiedsbetr.ausVermögensverrechnung</t>
  </si>
  <si>
    <t>=============================================</t>
  </si>
  <si>
    <t>064110 Aktivposten Ausfinanzerung ATZ</t>
  </si>
  <si>
    <t>62,3-</t>
  </si>
  <si>
    <t>1090000</t>
  </si>
  <si>
    <t>080116 n. d.Eigenkapital gedeckter Fehlbetrag</t>
  </si>
  <si>
    <t>48,8-</t>
  </si>
  <si>
    <t>Summe Aktiva</t>
  </si>
  <si>
    <t>1,7-</t>
  </si>
  <si>
    <t>2000000</t>
  </si>
  <si>
    <t>P a s s i v a</t>
  </si>
  <si>
    <t>= = = = = = =</t>
  </si>
  <si>
    <t>2010000</t>
  </si>
  <si>
    <t>Eigenkapital</t>
  </si>
  <si>
    <t>2011000</t>
  </si>
  <si>
    <t>080000 Gezeichnetes Kapital</t>
  </si>
  <si>
    <t>2012000</t>
  </si>
  <si>
    <t>080010 Kapitalrücklage</t>
  </si>
  <si>
    <t>2013000</t>
  </si>
  <si>
    <t>Gewinnrücklagen</t>
  </si>
  <si>
    <t>093000 Rücklagen - zur Ausschüttung gesperrt</t>
  </si>
  <si>
    <t>094000 Rücklagen aus Invest.-Zul.-Gesetz               .</t>
  </si>
  <si>
    <t>094010 Rücklagen Abzugsbeträge für Azubi            .</t>
  </si>
  <si>
    <t>Summe Gewinnrücklagen</t>
  </si>
  <si>
    <t>2014000</t>
  </si>
  <si>
    <t>Gewinn- und Verlustvortrag</t>
  </si>
  <si>
    <t>080200 Gewinn- und Verlustvortrag</t>
  </si>
  <si>
    <t>2015100</t>
  </si>
  <si>
    <t>Bilanzgewinn</t>
  </si>
  <si>
    <t>Bilanzverlust</t>
  </si>
  <si>
    <t>49,0-</t>
  </si>
  <si>
    <t>2016000</t>
  </si>
  <si>
    <t>nicht durch Eigenkapital</t>
  </si>
  <si>
    <t>gedeckter Fehlbetrag</t>
  </si>
  <si>
    <t>080117 n. d.Eigenkapital gedeckter Fehlbetrag</t>
  </si>
  <si>
    <t>48,8</t>
  </si>
  <si>
    <t>Summe Eigenkapital</t>
  </si>
  <si>
    <t>==================</t>
  </si>
  <si>
    <t>2024000</t>
  </si>
  <si>
    <t>Sonderposten für Investitionszuschüsse zu</t>
  </si>
  <si>
    <t>094045 Zuschussrücklage Bundespolizei</t>
  </si>
  <si>
    <t>3,7</t>
  </si>
  <si>
    <t>094080 Zuschussrücklage Sky Train</t>
  </si>
  <si>
    <t>11,7</t>
  </si>
  <si>
    <t>094090 Zuschussrücklage Check-In-Halle</t>
  </si>
  <si>
    <t>6,5</t>
  </si>
  <si>
    <t>Summe Sonderposten für Investitionszuschüsse</t>
  </si>
  <si>
    <t>9,8</t>
  </si>
  <si>
    <t>zu Schanlagen</t>
  </si>
  <si>
    <t>2025000</t>
  </si>
  <si>
    <t>Sonderposten mit Rücklageanteil</t>
  </si>
  <si>
    <t>2021003</t>
  </si>
  <si>
    <t>094020 Sopo Parkhäuser</t>
  </si>
  <si>
    <t>5,5</t>
  </si>
  <si>
    <t>094021 §6b Rücklage BISAWA</t>
  </si>
  <si>
    <t>6,3</t>
  </si>
  <si>
    <t>Summe Sonderposten mit Rücklageanteil</t>
  </si>
  <si>
    <t>5,9</t>
  </si>
  <si>
    <t>2030000</t>
  </si>
  <si>
    <t>Rückstellungen</t>
  </si>
  <si>
    <t>===============</t>
  </si>
  <si>
    <t>2031000</t>
  </si>
  <si>
    <t>Rückstellung für Pensionen und ähnliche</t>
  </si>
  <si>
    <t>Verpflichtungen</t>
  </si>
  <si>
    <t>==================================</t>
  </si>
  <si>
    <t>096000 Rückstellung für Versorgungszusagen</t>
  </si>
  <si>
    <t>9,3</t>
  </si>
  <si>
    <t>096100 Rückstellung für Beihilfezahlungen</t>
  </si>
  <si>
    <t>9,4</t>
  </si>
  <si>
    <t>2033000</t>
  </si>
  <si>
    <t>095100 Rückstellung für Gewerbesteuer</t>
  </si>
  <si>
    <t>095300 RUECKSTELLUNG FUER UMSATZSTEUER</t>
  </si>
  <si>
    <t>150,5-</t>
  </si>
  <si>
    <t>2034000</t>
  </si>
  <si>
    <t>2034001</t>
  </si>
  <si>
    <t>097060 Rückstellung für Aussenwohnbereichsentschädigung</t>
  </si>
  <si>
    <t>0,3</t>
  </si>
  <si>
    <t>097070 Rückstellung für Auflagen gem. Betriebsgenehmigung</t>
  </si>
  <si>
    <t>18,1</t>
  </si>
  <si>
    <t>SUMME RUECKSTELLUNGEN FUER LAERMSCHUTZMAßNAHM</t>
  </si>
  <si>
    <t>12,5</t>
  </si>
  <si>
    <t>2034002</t>
  </si>
  <si>
    <t>097100 Rückstellungen für Berufsgenossenschaftsbeiträge</t>
  </si>
  <si>
    <t>097200 Rückstellungen für Urlaubsansprüche</t>
  </si>
  <si>
    <t>9,1-</t>
  </si>
  <si>
    <t>097300 Rückstellungen für Restlöhne u. - Gehälter</t>
  </si>
  <si>
    <t>28,7-</t>
  </si>
  <si>
    <t>097302 Rückstellungen für Restgehälter (Bonus)</t>
  </si>
  <si>
    <t>097430 Rückstellungen für Prozesskosten</t>
  </si>
  <si>
    <t>12,7-</t>
  </si>
  <si>
    <t>097440 Rückstellungen für Prüfungskosten</t>
  </si>
  <si>
    <t>4,6</t>
  </si>
  <si>
    <t>097451 Rückstellungen für Nebenkosten</t>
  </si>
  <si>
    <t>17,5</t>
  </si>
  <si>
    <t>097453 Rückstellungen Marketingzuschuss / Kickbacks</t>
  </si>
  <si>
    <t>097460 Rückstellungen für Versicherungen</t>
  </si>
  <si>
    <t>29,8</t>
  </si>
  <si>
    <t>097470 PFT-Rückstellung</t>
  </si>
  <si>
    <t>71,3</t>
  </si>
  <si>
    <t>097475 Rückstellungen für unterlassene Instandhaltung</t>
  </si>
  <si>
    <t>097500 Rückstellung - Jubiläumszuwendungen</t>
  </si>
  <si>
    <t>097510 Rückstellung - Entgeltfortzahlung im Sterbefall</t>
  </si>
  <si>
    <t>097620 Rückst. ausstehende Rechnungen Anlagevermögen</t>
  </si>
  <si>
    <t>97,9-</t>
  </si>
  <si>
    <t>097700 RST ausst. Rechnungen "Schätzkosten"</t>
  </si>
  <si>
    <t>097740 Rückstellungen für interne Jahresabschlusskosten</t>
  </si>
  <si>
    <t>097741 Rückstellung - Veröffentl. Jahresabschluss</t>
  </si>
  <si>
    <t>10,0-</t>
  </si>
  <si>
    <t>097745 Rückstellung - Archivierungskosten</t>
  </si>
  <si>
    <t>1,1</t>
  </si>
  <si>
    <t>097751 ab 2025 Rückstellungen für Nebenkosten</t>
  </si>
  <si>
    <t>097764 Rückstellungen für ausstehende Risiken</t>
  </si>
  <si>
    <t>3,9</t>
  </si>
  <si>
    <t>19,1-</t>
  </si>
  <si>
    <t>Summe Sonstige Rückstellungen</t>
  </si>
  <si>
    <t>16,2-</t>
  </si>
  <si>
    <t>Summen Rückstellungen</t>
  </si>
  <si>
    <t>2040000</t>
  </si>
  <si>
    <t>Verbindlichkeiten</t>
  </si>
  <si>
    <t>2042000</t>
  </si>
  <si>
    <t>2042010</t>
  </si>
  <si>
    <t>LANGFRISTIGE DARLEHEN</t>
  </si>
  <si>
    <t>---------------------</t>
  </si>
  <si>
    <t>071000 Darlehen langfristige (FDG=Schuldscheindarl.)</t>
  </si>
  <si>
    <t>22,7</t>
  </si>
  <si>
    <t>071040 Darlehen langfristige Div.</t>
  </si>
  <si>
    <t>2,0</t>
  </si>
  <si>
    <t>071060 Förderdarlehen Corona</t>
  </si>
  <si>
    <t>50,0</t>
  </si>
  <si>
    <t>Summe Langfristige Darlehen</t>
  </si>
  <si>
    <t>14,1</t>
  </si>
  <si>
    <t>2042020</t>
  </si>
  <si>
    <t>Kurzristige Darlehen</t>
  </si>
  <si>
    <t>071100 Kurzfristige Darlehen</t>
  </si>
  <si>
    <t>21,3</t>
  </si>
  <si>
    <t>Summe Kurzfristige Darlehen</t>
  </si>
  <si>
    <t>2042030</t>
  </si>
  <si>
    <t>Sonstige Verbindlichkeiten gegenüber</t>
  </si>
  <si>
    <t>-------------------------------------</t>
  </si>
  <si>
    <t>2042030/00</t>
  </si>
  <si>
    <t>170290 VR - Abgrenzung Zinsen Kreditinstitute</t>
  </si>
  <si>
    <t>51,3</t>
  </si>
  <si>
    <t>Summe Sonstige Verbindlichkeiten gegenüber</t>
  </si>
  <si>
    <t>-------------------------------------------</t>
  </si>
  <si>
    <t>Summe Verbindlichkeiten gegenüber</t>
  </si>
  <si>
    <t>14,3</t>
  </si>
  <si>
    <t>2043000</t>
  </si>
  <si>
    <t>Verbindichkeiten gg. weiteren Darlehensgebern</t>
  </si>
  <si>
    <t>2043030</t>
  </si>
  <si>
    <t>weitere Darlehensgeber</t>
  </si>
  <si>
    <t>071070 Verbl. gg. weiteren Darlehensgebern</t>
  </si>
  <si>
    <t>170291 VR - Abgrenzung Zinsen weiterer Darlehensgeber</t>
  </si>
  <si>
    <t>55,7-</t>
  </si>
  <si>
    <t>2044000</t>
  </si>
  <si>
    <t>Verbindlichkeiten aus Lieferungen und</t>
  </si>
  <si>
    <t>Leistungen</t>
  </si>
  <si>
    <t>2044010</t>
  </si>
  <si>
    <t>160000 Verbindlichkeiten aus Lieferungen/Leistungen u.a.</t>
  </si>
  <si>
    <t>14,3-</t>
  </si>
  <si>
    <t>160001 Verbindlichk. aus Liefer.und Leistg. deb. Kred.</t>
  </si>
  <si>
    <t>53,6</t>
  </si>
  <si>
    <t>193000 VR - Lieferantenskonti (Nettoverfahren)</t>
  </si>
  <si>
    <t>53,2</t>
  </si>
  <si>
    <t>196400 VR - Kreditkarten</t>
  </si>
  <si>
    <t>300009 WE/RE-Verrechnungskonto</t>
  </si>
  <si>
    <t>1.869,1-</t>
  </si>
  <si>
    <t>SUMME VERBINDLICHKEITEN AUS</t>
  </si>
  <si>
    <t>6,0-</t>
  </si>
  <si>
    <t>LIEFERUNGEN UND LEISTUNGEN</t>
  </si>
  <si>
    <t>Summe Verbindlichkeiten aus Lieferungen und</t>
  </si>
  <si>
    <t>2045000</t>
  </si>
  <si>
    <t>2045030</t>
  </si>
  <si>
    <t>mit einer Restlaufzeit größer 5 Jahre</t>
  </si>
  <si>
    <t>180000 Verb. Darlehen Gesellschafter Stadt Holding</t>
  </si>
  <si>
    <t>5,8-</t>
  </si>
  <si>
    <t>181000 Verbindlichkeiten-Gesell. AirPORT Partners</t>
  </si>
  <si>
    <t>Gesellschaftern</t>
  </si>
  <si>
    <t>2046000</t>
  </si>
  <si>
    <t>Verbindlichkeiten gegenüber verb. Unternehmen</t>
  </si>
  <si>
    <t>============================</t>
  </si>
  <si>
    <t>2046010</t>
  </si>
  <si>
    <t>mit einer Restlaufzeit bis zu einem Jahr</t>
  </si>
  <si>
    <t>2046010/02</t>
  </si>
  <si>
    <t>FD Security GmbH</t>
  </si>
  <si>
    <t>159339 Forderungen gegen  FDSG</t>
  </si>
  <si>
    <t>10,9</t>
  </si>
  <si>
    <t>182139 Verbindlichkeiten gegenüber  FDSG</t>
  </si>
  <si>
    <t>13,8</t>
  </si>
  <si>
    <t>192060 VR - FDSG - Darlehen Cash-Pooling</t>
  </si>
  <si>
    <t>215,5-</t>
  </si>
  <si>
    <t>192260 VR - FDSG</t>
  </si>
  <si>
    <t>62,4</t>
  </si>
  <si>
    <t>67,2-</t>
  </si>
  <si>
    <t>Summe Verbindlichk. ggüber verb. Unternehmen</t>
  </si>
  <si>
    <t>=============================</t>
  </si>
  <si>
    <t>2047000</t>
  </si>
  <si>
    <t>2047010</t>
  </si>
  <si>
    <t>182019 Verbindlichkeiten gegenüber SAIT/Japon</t>
  </si>
  <si>
    <t>37,2</t>
  </si>
  <si>
    <t>Summe Verbindlichkeiten gegenüber Unternehmen</t>
  </si>
  <si>
    <t>2048000</t>
  </si>
  <si>
    <t>2048010</t>
  </si>
  <si>
    <t>Sonstige Verbindlichkeiten aus Steuern</t>
  </si>
  <si>
    <t>2048011</t>
  </si>
  <si>
    <t>174001 FA-Dus-Nord Lohnsteuer</t>
  </si>
  <si>
    <t>11,3-</t>
  </si>
  <si>
    <t>174020 FA-Dus-Nord - Kfz-Steuer                        .</t>
  </si>
  <si>
    <t>SUMME SONSTIGE VERBINDLICHKEITEN AUS STEUERN</t>
  </si>
  <si>
    <t>2048038</t>
  </si>
  <si>
    <t>Summe Sonstige Verbindlichkeiten aus Steuern</t>
  </si>
  <si>
    <t>2048020</t>
  </si>
  <si>
    <t>Sonstige Verbindlichkeiten im Rahmen</t>
  </si>
  <si>
    <t>der sozialen Sicherheit</t>
  </si>
  <si>
    <t>2048021</t>
  </si>
  <si>
    <t>195021 VR - Krankenkassen</t>
  </si>
  <si>
    <t>13,4-</t>
  </si>
  <si>
    <t>SUMME SONSTIGE VERBINDLICHKEITEN IM RAHMEN</t>
  </si>
  <si>
    <t>DER SOZIALEN SICHERHEIT</t>
  </si>
  <si>
    <t>Summe Sonstige Verbindlichkeiten im Rahmen</t>
  </si>
  <si>
    <t>.</t>
  </si>
  <si>
    <t>2048030</t>
  </si>
  <si>
    <t>Andere sonstige Verbindlichkeiten</t>
  </si>
  <si>
    <t>2048031</t>
  </si>
  <si>
    <t>170111 Sonstige Verbindlichkeiten - Mieter (Mietkaution).</t>
  </si>
  <si>
    <t>1,3</t>
  </si>
  <si>
    <t>170121 Sonstige Verbindlichkeiten - Airlines, etc.</t>
  </si>
  <si>
    <t>170141 Sonstige Verbindlichkeiten - Schlüsseldienst</t>
  </si>
  <si>
    <t>7,9-</t>
  </si>
  <si>
    <t>170143 Verbindlichkeiten Werbegemeinschaft</t>
  </si>
  <si>
    <t>7,8</t>
  </si>
  <si>
    <t>172020 Einbehaltene Centbeträge Lohn- u. Gehalt</t>
  </si>
  <si>
    <t>842,9-</t>
  </si>
  <si>
    <t>179000 Verbindlichkeiten aus Fundsachen</t>
  </si>
  <si>
    <t>44,4-</t>
  </si>
  <si>
    <t>6,4-</t>
  </si>
  <si>
    <t>2048032</t>
  </si>
  <si>
    <t>171000 Sonstige Verbindlichkeiten</t>
  </si>
  <si>
    <t>191000 VR - Rücküberweisungen Lohn/Gehalt</t>
  </si>
  <si>
    <t>196300 VR - Werbegemeinschaft Reisemärkte</t>
  </si>
  <si>
    <t>0,7-</t>
  </si>
  <si>
    <t>198100 VR - Gebühr für Sicherheitsüberprüfungen</t>
  </si>
  <si>
    <t>59,5-</t>
  </si>
  <si>
    <t>390011 Leasingobjekte</t>
  </si>
  <si>
    <t>2048033</t>
  </si>
  <si>
    <t>VERBINDLICHKEITEN AUS SONSTIGEN DARLEHEN</t>
  </si>
  <si>
    <t>071120 Darlehen der freiwilligen Unterstützungskasse</t>
  </si>
  <si>
    <t>Summe andere sonstige Verbindlichkeiten</t>
  </si>
  <si>
    <t>18,1-</t>
  </si>
  <si>
    <t>Summe Sonstige Verbindlichkeiten</t>
  </si>
  <si>
    <t>17,4-</t>
  </si>
  <si>
    <t>Summe Verbindlichkeiten</t>
  </si>
  <si>
    <t>2,5</t>
  </si>
  <si>
    <t>=======================</t>
  </si>
  <si>
    <t>2050000</t>
  </si>
  <si>
    <t>092001 Passive Rechnungsabgrenzung</t>
  </si>
  <si>
    <t>29,8-</t>
  </si>
  <si>
    <t>Summe Passiva</t>
  </si>
  <si>
    <t>3000000</t>
  </si>
  <si>
    <t>Gewinn-und-Verlust-Rechnung</t>
  </si>
  <si>
    <t>= = = = = = = = = = = = = =</t>
  </si>
  <si>
    <t>3010000</t>
  </si>
  <si>
    <t>3011010</t>
  </si>
  <si>
    <t>Erlöse aus Flughafenentgelten</t>
  </si>
  <si>
    <t>------------------------------</t>
  </si>
  <si>
    <t>3011011</t>
  </si>
  <si>
    <t>Landeentgelte</t>
  </si>
  <si>
    <t>3011011/00</t>
  </si>
  <si>
    <t>800400 PRM-Entgelt (People with reduced Mobility)</t>
  </si>
  <si>
    <t>18,6</t>
  </si>
  <si>
    <t>3011011/01</t>
  </si>
  <si>
    <t>Landeentgelte (fix)</t>
  </si>
  <si>
    <t>800000 Grundentgelte</t>
  </si>
  <si>
    <t>19,6-</t>
  </si>
  <si>
    <t>800001 NOX-Entgelte</t>
  </si>
  <si>
    <t>6,3-</t>
  </si>
  <si>
    <t>800002 Lärmzuschläge</t>
  </si>
  <si>
    <t>800020 Lande und Startentg. GAT</t>
  </si>
  <si>
    <t>3,1-</t>
  </si>
  <si>
    <t>810050 Positionsentgelt</t>
  </si>
  <si>
    <t>Summe Landeentgelte (fix)</t>
  </si>
  <si>
    <t>13,7-</t>
  </si>
  <si>
    <t>3011011/02</t>
  </si>
  <si>
    <t>Landeentgelte (variabel)</t>
  </si>
  <si>
    <t>800010 Passagierentgelte Inland</t>
  </si>
  <si>
    <t>1,5-</t>
  </si>
  <si>
    <t>800110 Passagierentgelte NON EU</t>
  </si>
  <si>
    <t>7,6-</t>
  </si>
  <si>
    <t>800111 Passagierentgelte EU</t>
  </si>
  <si>
    <t>4,5-</t>
  </si>
  <si>
    <t>800420 Passagierentgelte Transit / Transfer</t>
  </si>
  <si>
    <t>10,3</t>
  </si>
  <si>
    <t>800430 EU-Sicherheitsentgelte</t>
  </si>
  <si>
    <t>5,1-</t>
  </si>
  <si>
    <t>800990 Airlinesonderförderung</t>
  </si>
  <si>
    <t>800991 Airlineförderung</t>
  </si>
  <si>
    <t>2,2</t>
  </si>
  <si>
    <t>4,1-</t>
  </si>
  <si>
    <t>Summe Erlöse aus Landeentgelten</t>
  </si>
  <si>
    <t>3011015</t>
  </si>
  <si>
    <t>Abstellentgelte</t>
  </si>
  <si>
    <t>801000 Abstellentgelte</t>
  </si>
  <si>
    <t>10,1-</t>
  </si>
  <si>
    <t>Summe Erlöse aus Abstellentgelten</t>
  </si>
  <si>
    <t>Summe Erlöse aus Flughafenentgelten</t>
  </si>
  <si>
    <t>------------------------------------</t>
  </si>
  <si>
    <t>3011020</t>
  </si>
  <si>
    <t>Erlöse aus Bodenverkehrsdiensten</t>
  </si>
  <si>
    <t>3011021</t>
  </si>
  <si>
    <t>810030 Zentrale Infrastruktur Counter</t>
  </si>
  <si>
    <t>810032 Self Baggage Drop off Entgelte</t>
  </si>
  <si>
    <t>100,1-</t>
  </si>
  <si>
    <t>SUMME ERLOESE AUS ABFERTIGUNGSENTGELTEN</t>
  </si>
  <si>
    <t>15,8-</t>
  </si>
  <si>
    <t>3011022</t>
  </si>
  <si>
    <t>811010 Sonderleistungen Flugbetrieb/Treppen</t>
  </si>
  <si>
    <t>18,8-</t>
  </si>
  <si>
    <t>811020 Sonderleistungen Terminalservice</t>
  </si>
  <si>
    <t>811040 Sonderleistungen Vorfeldabfertigung</t>
  </si>
  <si>
    <t>8,2-</t>
  </si>
  <si>
    <t>811110 Sonderleistungen Gepäckdienst</t>
  </si>
  <si>
    <t>7,4</t>
  </si>
  <si>
    <t>811130 Containerlagerung</t>
  </si>
  <si>
    <t>SUMME ERLOSE AUS SONDERLEISTUNGEN</t>
  </si>
  <si>
    <t>5,6-</t>
  </si>
  <si>
    <t>Summe Erlöse aus Bodenverkehrsdiensten</t>
  </si>
  <si>
    <t>12,5-</t>
  </si>
  <si>
    <t>3011040</t>
  </si>
  <si>
    <t>Mieterlöse</t>
  </si>
  <si>
    <t>-----------</t>
  </si>
  <si>
    <t>820000 Mieterlöse Werbung innen</t>
  </si>
  <si>
    <t>28,5-</t>
  </si>
  <si>
    <t>820003 Mieterlöse Werbung</t>
  </si>
  <si>
    <t>11,0-</t>
  </si>
  <si>
    <t>820030 Mieterlöse Verkaufsgeschäfte</t>
  </si>
  <si>
    <t>3,6-</t>
  </si>
  <si>
    <t>820031 Mieterlöse Gastronomie</t>
  </si>
  <si>
    <t>2,3</t>
  </si>
  <si>
    <t>820033 Mieterlöse Reisemarkt</t>
  </si>
  <si>
    <t>13,7</t>
  </si>
  <si>
    <t>820034 Mieterlöse DFS/TrValue</t>
  </si>
  <si>
    <t>820059 Mieterlöse Sonstiges CO</t>
  </si>
  <si>
    <t>820060 Mieterlöse Parken</t>
  </si>
  <si>
    <t>18,2-</t>
  </si>
  <si>
    <t>820061 Mieterlöse Autovermieter</t>
  </si>
  <si>
    <t>820062 Mieterlöse Catering</t>
  </si>
  <si>
    <t>820063 Mieterlöse Tankdienste</t>
  </si>
  <si>
    <t>7,4-</t>
  </si>
  <si>
    <t>820064 Mieterlöse Vermietung</t>
  </si>
  <si>
    <t>4,2-</t>
  </si>
  <si>
    <t>820065 Mieterlöse Lohausen</t>
  </si>
  <si>
    <t>820067 Mieterlöse Telekommunikation</t>
  </si>
  <si>
    <t>5,6</t>
  </si>
  <si>
    <t>820068 Mieterlöse Parken Passagiere</t>
  </si>
  <si>
    <t>5,4-</t>
  </si>
  <si>
    <t>820089 Mieterlöse Sonstiegs IM</t>
  </si>
  <si>
    <t>820900 Nutzungsentgelt Lärmschutzhalle</t>
  </si>
  <si>
    <t>7,3-</t>
  </si>
  <si>
    <t>823590 Mieterlöse aus Gebrauchsüberlassung</t>
  </si>
  <si>
    <t>Summe Mieterlöse</t>
  </si>
  <si>
    <t>-----------------</t>
  </si>
  <si>
    <t>3011050</t>
  </si>
  <si>
    <t>Pachterlöse, Umsatz- und Konzessionsabgaben</t>
  </si>
  <si>
    <t>--------------------------------------------</t>
  </si>
  <si>
    <t>830100 Umsatzabgabe Werbung innen</t>
  </si>
  <si>
    <t>48,6-</t>
  </si>
  <si>
    <t>830102 Umsatzabgabe Werbung Sonstiges</t>
  </si>
  <si>
    <t>127,7</t>
  </si>
  <si>
    <t>830130 Umsatzabgabe Verkaufsgeschäfte</t>
  </si>
  <si>
    <t>10,7-</t>
  </si>
  <si>
    <t>830131 Umsatzabgabe Gastronomie</t>
  </si>
  <si>
    <t>10,6-</t>
  </si>
  <si>
    <t>830133 Umsatzabgabe Reisemarkt</t>
  </si>
  <si>
    <t>830134 Umsatzabgabe DFS/TrValue</t>
  </si>
  <si>
    <t>0,2-</t>
  </si>
  <si>
    <t>830159 Umsatzabgabe Sonstiges CO</t>
  </si>
  <si>
    <t>19,0-</t>
  </si>
  <si>
    <t>830161 Umsatzabgabe Autovermieter</t>
  </si>
  <si>
    <t>830164 Umsatzabgabe Vermietung</t>
  </si>
  <si>
    <t>830166 Umsatzabgabe Hotel</t>
  </si>
  <si>
    <t>830167 Umsatzabgabe Telekommunikation</t>
  </si>
  <si>
    <t>12,4</t>
  </si>
  <si>
    <t>830189 Umsatzabgabe Sonstiges IM</t>
  </si>
  <si>
    <t>12,3</t>
  </si>
  <si>
    <t>Summe Pachterlöse, Umsatz- u. Konzessionsabg.</t>
  </si>
  <si>
    <t>3011060</t>
  </si>
  <si>
    <t>Erlöse aus Nebenk.- u. Versorgungsleistungen</t>
  </si>
  <si>
    <t>--------------------------------</t>
  </si>
  <si>
    <t>840000 Erlöse aus Strom</t>
  </si>
  <si>
    <t>840001 Erlöse aus Batterieladesäule Strom</t>
  </si>
  <si>
    <t>40,6-</t>
  </si>
  <si>
    <t>840004 Erlöse aus Strom EEG/KWK (Photovoltaikanl.+BHKW2 )</t>
  </si>
  <si>
    <t>17,1-</t>
  </si>
  <si>
    <t>840031 Erlöse aus Netzentgelt (Arbeit)</t>
  </si>
  <si>
    <t>2,3-</t>
  </si>
  <si>
    <t>840032 Erlöse aus Netzentgelt (Konzessionsabgaben)</t>
  </si>
  <si>
    <t>2,9</t>
  </si>
  <si>
    <t>840033 Erlöse aus Netzentgelt (Leistung)</t>
  </si>
  <si>
    <t>3,5-</t>
  </si>
  <si>
    <t>840034 Erlöse aus Netzentgelt (KWK)</t>
  </si>
  <si>
    <t>8,7</t>
  </si>
  <si>
    <t>840035 Erlöse aus Netzentgelt (Uml §17)</t>
  </si>
  <si>
    <t>840037 Erlöse aus Netzentgelt (Uml §19)</t>
  </si>
  <si>
    <t>120,0-</t>
  </si>
  <si>
    <t>840101 Erlöse aus Strom Umlagen u. Abgaben</t>
  </si>
  <si>
    <t>9,9-</t>
  </si>
  <si>
    <t>840102 Erlöse aus Strom Messkosten</t>
  </si>
  <si>
    <t>4,2</t>
  </si>
  <si>
    <t>840200 Mietnebenkosten Strom</t>
  </si>
  <si>
    <t>16,7-</t>
  </si>
  <si>
    <t>840201 Mietnebenkosten Heizung</t>
  </si>
  <si>
    <t>20,1-</t>
  </si>
  <si>
    <t>840202 Mietnebenkosten Klima</t>
  </si>
  <si>
    <t>840203 Mietnebenkosten Lüftung</t>
  </si>
  <si>
    <t>3,2-</t>
  </si>
  <si>
    <t>840204 Mietnebenkosten Wasser /Abwasser kalt</t>
  </si>
  <si>
    <t>1,6-</t>
  </si>
  <si>
    <t>840205 Mietnebenkosten Wasser /Abwasser warm</t>
  </si>
  <si>
    <t>14,7</t>
  </si>
  <si>
    <t>840206 Mietnebenkosten Pauschalen</t>
  </si>
  <si>
    <t>3,7-</t>
  </si>
  <si>
    <t>841000 Erlöse aus Wärmeenergie</t>
  </si>
  <si>
    <t>122,2-</t>
  </si>
  <si>
    <t>846000 Erlöse aus Versorg.Leist. VIDEO/FLUGINFO/ELA-ANL.</t>
  </si>
  <si>
    <t>Summe Erlöse aus Nebenk. u. Versorgungsl.</t>
  </si>
  <si>
    <t>9,7-</t>
  </si>
  <si>
    <t>--------------------------------------</t>
  </si>
  <si>
    <t>3011070</t>
  </si>
  <si>
    <t>Sonstige Erlöse</t>
  </si>
  <si>
    <t>3011070/00</t>
  </si>
  <si>
    <t>813051 Nutzungsentgelt FDG-Lounges</t>
  </si>
  <si>
    <t>13,3-</t>
  </si>
  <si>
    <t>863000 Erlöse aus Leistungen Werkstätten</t>
  </si>
  <si>
    <t>8,1-</t>
  </si>
  <si>
    <t>863010 Erlöse aus Verkäufen</t>
  </si>
  <si>
    <t>5,3-</t>
  </si>
  <si>
    <t>863100 Erlöse aus Weiterberechnung</t>
  </si>
  <si>
    <t>52,2-</t>
  </si>
  <si>
    <t>863300 Erlöse aus  Lieferungen und Leistungen</t>
  </si>
  <si>
    <t>1,0-</t>
  </si>
  <si>
    <t>863310 Erlöse aus Kofferkuli</t>
  </si>
  <si>
    <t>863331 Cute-Erlöse</t>
  </si>
  <si>
    <t>9,8-</t>
  </si>
  <si>
    <t>863440 Erlöse Sky Train (VRR)</t>
  </si>
  <si>
    <t>8,9-</t>
  </si>
  <si>
    <t>Summe Sonstige Erlöse</t>
  </si>
  <si>
    <t>3012000</t>
  </si>
  <si>
    <t>Erlösschmälerungen</t>
  </si>
  <si>
    <t>896000 Unberechtigte Kundenabzüge u.a. Toleranzbeträge</t>
  </si>
  <si>
    <t>909,4</t>
  </si>
  <si>
    <t>Summe Umsatzerlöse</t>
  </si>
  <si>
    <t>3030000</t>
  </si>
  <si>
    <t>Andere Aktivierte Eigenleistungen</t>
  </si>
  <si>
    <t>870000 Erträge aus aktivierten Eigenleistungen</t>
  </si>
  <si>
    <t>57,3-</t>
  </si>
  <si>
    <t>Summe andere Aktivierte Eigenleistungen</t>
  </si>
  <si>
    <t>3040000</t>
  </si>
  <si>
    <t>3041000</t>
  </si>
  <si>
    <t>Ertrag aus der Auflösung des Sonderpostens</t>
  </si>
  <si>
    <t>mit Rücklageanteil</t>
  </si>
  <si>
    <t>===========================================</t>
  </si>
  <si>
    <t>202120 Erträge aus Aufl.v.Sopo Parkhäuser</t>
  </si>
  <si>
    <t>202122 Erträge aus Aufl.v.Sopo Sky Train</t>
  </si>
  <si>
    <t>1,8-</t>
  </si>
  <si>
    <t>202123 Erträge aus Aufl.v.Sopo IC-Bahnhof</t>
  </si>
  <si>
    <t>202124 Erträge aus Aufl.v.Sopo BISAWA</t>
  </si>
  <si>
    <t>202125 Erträge aus Aufl.v.Sopo Bundespolizei</t>
  </si>
  <si>
    <t>0,9-</t>
  </si>
  <si>
    <t>3042000</t>
  </si>
  <si>
    <t>UEBRIGE SONSTIGE BETRIEBLICHE ERTRAEGE</t>
  </si>
  <si>
    <t>3042010</t>
  </si>
  <si>
    <t>202140 Erträge aus abgeschriebenen Forderungen</t>
  </si>
  <si>
    <t>291000 Periodenfremde Erträge</t>
  </si>
  <si>
    <t>183,3-</t>
  </si>
  <si>
    <t>183,2-</t>
  </si>
  <si>
    <t>3042000/00</t>
  </si>
  <si>
    <t>200100 Erträge aus dem Abgang von Gegenst. d. Anlagever.</t>
  </si>
  <si>
    <t>23,6-</t>
  </si>
  <si>
    <t>202100 Sonstige betriebliche Erträge</t>
  </si>
  <si>
    <t>57,4</t>
  </si>
  <si>
    <t>202101 Erträge aus Konventionalstrafen</t>
  </si>
  <si>
    <t>202110 Erträge aus Zuschreibungen aus Anlagevermögen</t>
  </si>
  <si>
    <t>57,7</t>
  </si>
  <si>
    <t>202112 Erträge aus Bestandsaufnahme Lagermaterial</t>
  </si>
  <si>
    <t>43,4</t>
  </si>
  <si>
    <t>202130 Erträge aus Zuschüssen und Zulagen</t>
  </si>
  <si>
    <t>30,6</t>
  </si>
  <si>
    <t>215001 Auflösung EWB auf Forderungen</t>
  </si>
  <si>
    <t>71,0</t>
  </si>
  <si>
    <t>215100 Auflösung von Rückstellungen</t>
  </si>
  <si>
    <t>33,5</t>
  </si>
  <si>
    <t>215101 Auflösung von RST Marketingsupports</t>
  </si>
  <si>
    <t>3.065,2-</t>
  </si>
  <si>
    <t>280002 Erträge aus Mahngebühren (Debitoren)</t>
  </si>
  <si>
    <t>866000 Eigenanteil der Mitarbeiter f. Berufs-u.Schutzklei</t>
  </si>
  <si>
    <t>21,6</t>
  </si>
  <si>
    <t>867000 Erlöse aus Anlagenabgang (Verkauf Anlagegüter)</t>
  </si>
  <si>
    <t>867001 Verrechnung Anlagenabgang (Korrektur Umsatz)</t>
  </si>
  <si>
    <t>889001 Sonstige Mobilitätssachbezüge</t>
  </si>
  <si>
    <t>890000 Kostengutschriften Sonstige</t>
  </si>
  <si>
    <t>381,1-</t>
  </si>
  <si>
    <t>890001 Erträge Versich. u. Schadensersatz</t>
  </si>
  <si>
    <t>133,7-</t>
  </si>
  <si>
    <t>14,6-</t>
  </si>
  <si>
    <t>18,5-</t>
  </si>
  <si>
    <t>Summe sonstige betriebliche Erträge</t>
  </si>
  <si>
    <t>10,5-</t>
  </si>
  <si>
    <t>3050000</t>
  </si>
  <si>
    <t>3051000</t>
  </si>
  <si>
    <t>Aufwendungen für Roh-, Hilfs-und</t>
  </si>
  <si>
    <t>Betriebsstoffe sowie für bezogene Waren</t>
  </si>
  <si>
    <t>3051010</t>
  </si>
  <si>
    <t>231000 Preisdifferenzen (Aufwand)</t>
  </si>
  <si>
    <t>3,9-</t>
  </si>
  <si>
    <t>232000 Aufwand aus Umbewertung</t>
  </si>
  <si>
    <t>99,2-</t>
  </si>
  <si>
    <t>233000 AUFWAND AUS INVENTURDIFFERENZEN</t>
  </si>
  <si>
    <t>78,1-</t>
  </si>
  <si>
    <t>276000 Skonto-Erträge - Lieferer-Skonto</t>
  </si>
  <si>
    <t>714,0</t>
  </si>
  <si>
    <t>281100 Preidifferenzen (Ertrag)</t>
  </si>
  <si>
    <t>15,0-</t>
  </si>
  <si>
    <t>282000 Ertrag aus Umbewertung                           .</t>
  </si>
  <si>
    <t>97,5</t>
  </si>
  <si>
    <t>283000 ERTRAG AUS INVENTURDIFFERENZEN</t>
  </si>
  <si>
    <t>82,3</t>
  </si>
  <si>
    <t>500009 Verbrauch aus Verschrottung</t>
  </si>
  <si>
    <t>31,1</t>
  </si>
  <si>
    <t>500019 Material Verbrauch Kfz-Werkstatt</t>
  </si>
  <si>
    <t>500029 Material Verbrauch Klempnerei</t>
  </si>
  <si>
    <t>84,5</t>
  </si>
  <si>
    <t>500039 Materialverbrauch Schreinerei/Schlüsseldienst</t>
  </si>
  <si>
    <t>1,8</t>
  </si>
  <si>
    <t>500049 Materialverbrauch Normteile</t>
  </si>
  <si>
    <t>500059 Materialverbrauch Mechanikerwerkstatt</t>
  </si>
  <si>
    <t>3,6</t>
  </si>
  <si>
    <t>500069 Materialverbrauch Heizungsdienst</t>
  </si>
  <si>
    <t>922,0</t>
  </si>
  <si>
    <t>500079 Materialverbrauch Schlosserei</t>
  </si>
  <si>
    <t>6,6</t>
  </si>
  <si>
    <t>500089 Materialverbrauch E-Werkstatt</t>
  </si>
  <si>
    <t>500099 Materialverbrauch HF-Werkstatt</t>
  </si>
  <si>
    <t>500109 Verbrauchsmaterial</t>
  </si>
  <si>
    <t>10,0</t>
  </si>
  <si>
    <t>500119 Verbrauch Öle, Schmierstoffe, u.ä.</t>
  </si>
  <si>
    <t>5,4</t>
  </si>
  <si>
    <t>500139 Materialverbrauch Bauabteilung</t>
  </si>
  <si>
    <t>19,5-</t>
  </si>
  <si>
    <t>500149 Verbrauch Werkzeuge</t>
  </si>
  <si>
    <t>500159 Verbrauch Dienst- und Schutzkleidung</t>
  </si>
  <si>
    <t>500169 Materialverbrauch Malerwerkstatt</t>
  </si>
  <si>
    <t>14,0</t>
  </si>
  <si>
    <t>500239 Verbrauch Heizstoffe</t>
  </si>
  <si>
    <t>0,5</t>
  </si>
  <si>
    <t>500249 Verbrauch Enteisungsmittel</t>
  </si>
  <si>
    <t>21,3-</t>
  </si>
  <si>
    <t>510000 Material für Instandhaltung und Umbau</t>
  </si>
  <si>
    <t>510100 Sonstiges Material</t>
  </si>
  <si>
    <t>33,6-</t>
  </si>
  <si>
    <t>510259 Kfz-Betriebsstoffe</t>
  </si>
  <si>
    <t>662020 Marketingzuschüsse</t>
  </si>
  <si>
    <t>9,4-</t>
  </si>
  <si>
    <t>3051020</t>
  </si>
  <si>
    <t>600000 Strom</t>
  </si>
  <si>
    <t>87,7</t>
  </si>
  <si>
    <t>600001 Strom Netznutzungentgelt + Umlagen u. Abgaben</t>
  </si>
  <si>
    <t>17,3</t>
  </si>
  <si>
    <t>600003 Abgrenzung Strom EEG, Arbeitspreis, Steuern</t>
  </si>
  <si>
    <t>74,3</t>
  </si>
  <si>
    <t>600004 Überdeckung BHKW2</t>
  </si>
  <si>
    <t>600050 Kälteerzeugung/Klimatisierung</t>
  </si>
  <si>
    <t>4,8</t>
  </si>
  <si>
    <t>600060 Wärme/Kälteverteilung</t>
  </si>
  <si>
    <t>14,2</t>
  </si>
  <si>
    <t>600100 Heizung/Gaslieferung</t>
  </si>
  <si>
    <t>600150 Wärmelieferung</t>
  </si>
  <si>
    <t>19,2-</t>
  </si>
  <si>
    <t>600200 Wasser</t>
  </si>
  <si>
    <t>7,2</t>
  </si>
  <si>
    <t>Summe Aufwendungen für Roh-, Hilfs-und</t>
  </si>
  <si>
    <t>9,1</t>
  </si>
  <si>
    <t>3052000</t>
  </si>
  <si>
    <t>Aufwendungen für bezogenen Leistungen</t>
  </si>
  <si>
    <t>3052010</t>
  </si>
  <si>
    <t>470000 Instandhaltungs- und Umbaufremdleistungen</t>
  </si>
  <si>
    <t>4,0-</t>
  </si>
  <si>
    <t>600400 Gebäudeinnen-und Glasreinigung</t>
  </si>
  <si>
    <t>25,8</t>
  </si>
  <si>
    <t>600500 Außenflächenreinigung</t>
  </si>
  <si>
    <t>600600 Kanalisationsgebühren</t>
  </si>
  <si>
    <t>34,7</t>
  </si>
  <si>
    <t>600700 Müllabfuhr und Entsorgung</t>
  </si>
  <si>
    <t>9,9</t>
  </si>
  <si>
    <t>600800 Leistungen Ground (Handling u. Cargo)</t>
  </si>
  <si>
    <t>3,3</t>
  </si>
  <si>
    <t>601210 Passagierdienstleistung</t>
  </si>
  <si>
    <t>601250 Dienstleistung Parken</t>
  </si>
  <si>
    <t>601400 Flugplatzkontrolldienste (Vorfeld- / Luftbewegung)</t>
  </si>
  <si>
    <t>601410 Datenüberlassung DFS</t>
  </si>
  <si>
    <t>601510 Lounges</t>
  </si>
  <si>
    <t>679310 Bewachungspersonal Objektschutz</t>
  </si>
  <si>
    <t>2,5-</t>
  </si>
  <si>
    <t>3052050</t>
  </si>
  <si>
    <t>690005 Pacht für Grund und Boden (Geländepacht)</t>
  </si>
  <si>
    <t>3052060</t>
  </si>
  <si>
    <t>691230 Mietaufwendungen  unbew. WG</t>
  </si>
  <si>
    <t>3052070</t>
  </si>
  <si>
    <t>691206 Leasing technische Anlagen/Betriebsvorr.</t>
  </si>
  <si>
    <t>Summe Aufwendungen für bezogene Leistungen</t>
  </si>
  <si>
    <t>Summe Materialaufwand</t>
  </si>
  <si>
    <t>1,5</t>
  </si>
  <si>
    <t>3060000</t>
  </si>
  <si>
    <t>3061000</t>
  </si>
  <si>
    <t>3061010</t>
  </si>
  <si>
    <t>LOEHNE UND GEHAELTER (BUDGET)</t>
  </si>
  <si>
    <t>621010 Entgelte für Stammstellen</t>
  </si>
  <si>
    <t>5,3</t>
  </si>
  <si>
    <t>621011 Gehälter für Stammstellen (Überstunden)</t>
  </si>
  <si>
    <t>18,8</t>
  </si>
  <si>
    <t>621020 Entgelte für Aushilfen</t>
  </si>
  <si>
    <t>621030 Entgelte für Auszubildende</t>
  </si>
  <si>
    <t>17,4</t>
  </si>
  <si>
    <t>624510 Jahressonderzahlungen</t>
  </si>
  <si>
    <t>629990 Zuführung Rückstellung für Personalentgelte</t>
  </si>
  <si>
    <t>16,9</t>
  </si>
  <si>
    <t>629991 Verbrauch Rückstellung für Personalentgelte</t>
  </si>
  <si>
    <t>3061020</t>
  </si>
  <si>
    <t>LOEHNE UND GEHAELTER (NICHT-BUDGET)</t>
  </si>
  <si>
    <t>623000 VORRUHESTAND/ALTERSTEILZEIT</t>
  </si>
  <si>
    <t>146,5</t>
  </si>
  <si>
    <t>623100 Abfindungen</t>
  </si>
  <si>
    <t>174,2</t>
  </si>
  <si>
    <t>625100 Pauschale und übernommene Lohnsteuer</t>
  </si>
  <si>
    <t>65,4-</t>
  </si>
  <si>
    <t>625101 Pauschale LST §37b n.a. BA</t>
  </si>
  <si>
    <t>249,5</t>
  </si>
  <si>
    <t>640100 Steuerl. AG-Anteile f. Beiträge ZVK</t>
  </si>
  <si>
    <t>67,8-</t>
  </si>
  <si>
    <t>673510 Steuerl. AG-Anteile für Fahrtkostenzuschüsse</t>
  </si>
  <si>
    <t>96,9</t>
  </si>
  <si>
    <t>Summe Löhne und Gehälter</t>
  </si>
  <si>
    <t>7,0</t>
  </si>
  <si>
    <t>3062000</t>
  </si>
  <si>
    <t>Soziale Abgaben und Aufwendungen für</t>
  </si>
  <si>
    <t>Alterversorgung und für Unterstützung</t>
  </si>
  <si>
    <t>3062010</t>
  </si>
  <si>
    <t>Soziale Abgaben</t>
  </si>
  <si>
    <t>630002 AG-Anteil zur Sozialversicherung (Stammstellen)</t>
  </si>
  <si>
    <t>8,8</t>
  </si>
  <si>
    <t>630003 AG-Anteil zur Sozialversicherung (Aushilfen)</t>
  </si>
  <si>
    <t>3,4</t>
  </si>
  <si>
    <t>630004 AG-Anteil zur Sozialversicherung (Auszubildende)</t>
  </si>
  <si>
    <t>22,6</t>
  </si>
  <si>
    <t>631000 Gesetzliche Unfallversicherung (Berufsgenossensch)</t>
  </si>
  <si>
    <t>9,6</t>
  </si>
  <si>
    <t>632000 Gesetzl. Soz.-Abg. - Versicherte ü. Pflichtgrenze</t>
  </si>
  <si>
    <t>632990 Zuführung Rückstellung für soziale Abgaben</t>
  </si>
  <si>
    <t>18,7</t>
  </si>
  <si>
    <t>632991 Aufwand (Inanspr.) Rückstellungen SV</t>
  </si>
  <si>
    <t>18,6-</t>
  </si>
  <si>
    <t>3062020</t>
  </si>
  <si>
    <t>Aufwendungen für Altersversorgung</t>
  </si>
  <si>
    <t>633000 Beiträge zur Insolvenzsicherung</t>
  </si>
  <si>
    <t>640002 Zusatzversorgungskasse für Stammstellen</t>
  </si>
  <si>
    <t>640003 Zusatzversorgungskasse für Aushilfen</t>
  </si>
  <si>
    <t>640004 Zusatzversorgungskasse für Auszubildende</t>
  </si>
  <si>
    <t>641000 Pensionsaufwendungen</t>
  </si>
  <si>
    <t>331,6-</t>
  </si>
  <si>
    <t>Summe Aufwendungen für Altersversorgung</t>
  </si>
  <si>
    <t>4,3-</t>
  </si>
  <si>
    <t>3062030</t>
  </si>
  <si>
    <t>Aufwendungen für Unterstützung</t>
  </si>
  <si>
    <t>642000 Beihilfen</t>
  </si>
  <si>
    <t>40,0-</t>
  </si>
  <si>
    <t>644000 Sonstige Soziale Aufwendungen</t>
  </si>
  <si>
    <t>36,8-</t>
  </si>
  <si>
    <t>Summe Soziale Abgaben und Aufwendungen für</t>
  </si>
  <si>
    <t>5,1</t>
  </si>
  <si>
    <t>Summe Personalaufwand</t>
  </si>
  <si>
    <t>3070000</t>
  </si>
  <si>
    <t>Abschreibungen auf immaterielle Vermögens-</t>
  </si>
  <si>
    <t>gegenstände des Anlagevermögens und</t>
  </si>
  <si>
    <t>3071000</t>
  </si>
  <si>
    <t>AFA AUF IMMATERIELLE VERMOEGENS-GEGENSTAENDE</t>
  </si>
  <si>
    <t>DES ANLAGEVERMOEGENS UND SACH-ANLAGEN SOWIE</t>
  </si>
  <si>
    <t>AUF AKTIVIERTE AUFWENDUNGEN FUER DIE INGANG-</t>
  </si>
  <si>
    <t>SETZUNG UND ERWEITERUNG DES GESCH.-BETRIEBES</t>
  </si>
  <si>
    <t>3071010</t>
  </si>
  <si>
    <t>PLANMAESSIG</t>
  </si>
  <si>
    <t>220010 Abschreibungen auf immaterielle Wirtschaftsgüter</t>
  </si>
  <si>
    <t>20,6</t>
  </si>
  <si>
    <t>3072000/00</t>
  </si>
  <si>
    <t>220007 Sofortabschreibungen GWG</t>
  </si>
  <si>
    <t>27,7</t>
  </si>
  <si>
    <t>220009 Abschreibungen auf das Sachanlagevermögen</t>
  </si>
  <si>
    <t>2,4</t>
  </si>
  <si>
    <t>Summe Abschreibungen</t>
  </si>
  <si>
    <t>3080000</t>
  </si>
  <si>
    <t>3082010/00</t>
  </si>
  <si>
    <t>200050 Verluste aus dem Abgang von Gegenst. d. Anlageverm</t>
  </si>
  <si>
    <t>439,3</t>
  </si>
  <si>
    <t>202000 Sonstige betriebliche Aufwendungen</t>
  </si>
  <si>
    <t>589,1</t>
  </si>
  <si>
    <t>210100 Bildung von PWB zu Forderungen</t>
  </si>
  <si>
    <t>3.692,0</t>
  </si>
  <si>
    <t>210110 Bildung von Einzel-WB zu Forderungen</t>
  </si>
  <si>
    <t>210200 Zuführung zu Rückstellungen</t>
  </si>
  <si>
    <t>234000 Aufwand aus Währungskurs-Differenzen</t>
  </si>
  <si>
    <t>250000 Verluste aus Forderungen</t>
  </si>
  <si>
    <t>270000 Spenden</t>
  </si>
  <si>
    <t>69,9</t>
  </si>
  <si>
    <t>290000 Periodenfremde Aufwendungen</t>
  </si>
  <si>
    <t>12.523,5</t>
  </si>
  <si>
    <t>86,3</t>
  </si>
  <si>
    <t>3082010</t>
  </si>
  <si>
    <t>3082020</t>
  </si>
  <si>
    <t>529000 An Dritte Weiterber. Instandsetzungskosten</t>
  </si>
  <si>
    <t>45,3</t>
  </si>
  <si>
    <t>529001 Weiterberechnung auftragsbezogen</t>
  </si>
  <si>
    <t>135,1</t>
  </si>
  <si>
    <t>529022 Weiterberechnung Objektgesellschaften Kasernengelä</t>
  </si>
  <si>
    <t>529023 Weiterberechnung FDGHG</t>
  </si>
  <si>
    <t>29,3</t>
  </si>
  <si>
    <t>529024 Weiterberechnung SITA Airport IT GmbH</t>
  </si>
  <si>
    <t>9,2-</t>
  </si>
  <si>
    <t>529026 Weiterberechnung FDSG</t>
  </si>
  <si>
    <t>34,5-</t>
  </si>
  <si>
    <t>529100 Weiterberechnung FM</t>
  </si>
  <si>
    <t>27,1</t>
  </si>
  <si>
    <t>51,2</t>
  </si>
  <si>
    <t>3082031</t>
  </si>
  <si>
    <t>662000 Aufwendungen für Öffentlichkeitsarbeit</t>
  </si>
  <si>
    <t>21,0</t>
  </si>
  <si>
    <t>662100 Geschenke (nicht abzugsfähig)</t>
  </si>
  <si>
    <t>260,0</t>
  </si>
  <si>
    <t>662200 Geschenke (abzugsfähig)</t>
  </si>
  <si>
    <t>25,3</t>
  </si>
  <si>
    <t>662219 Werbegeschenke&lt; 50 EUR (Lagermaterial)</t>
  </si>
  <si>
    <t>58,1-</t>
  </si>
  <si>
    <t>664000 Bewirtungsaufwendungen- GESCHÄFTLICH</t>
  </si>
  <si>
    <t>70,6</t>
  </si>
  <si>
    <t>664100 Sonst. Aufwendungen im Interesse der Gesellschaft</t>
  </si>
  <si>
    <t>65,3</t>
  </si>
  <si>
    <t>23,6</t>
  </si>
  <si>
    <t>3082032</t>
  </si>
  <si>
    <t>666000 Prüfungs- und Beratungskosten</t>
  </si>
  <si>
    <t>666010 Honorare für Gutachten</t>
  </si>
  <si>
    <t>666100 Rechtskosten</t>
  </si>
  <si>
    <t>3082033</t>
  </si>
  <si>
    <t>669000 Sitzungsgelder für Aufsichtsrat</t>
  </si>
  <si>
    <t>23,8-</t>
  </si>
  <si>
    <t>669401 Aufsichtsratkosten</t>
  </si>
  <si>
    <t>13,1-</t>
  </si>
  <si>
    <t>669402 Kosten Teilgrämien Ausichtsrat</t>
  </si>
  <si>
    <t>42,6-</t>
  </si>
  <si>
    <t>3082034</t>
  </si>
  <si>
    <t>673000 Kosten für Personaleinstellungen</t>
  </si>
  <si>
    <t>673100 Essengeldzuschüsse</t>
  </si>
  <si>
    <t>30,3-</t>
  </si>
  <si>
    <t>673500 Mobilitätszuschuss AG</t>
  </si>
  <si>
    <t>14,5</t>
  </si>
  <si>
    <t>673502 Fahrtkostenzuschüsse für Gehaltsempfänger</t>
  </si>
  <si>
    <t>673503 Fahrtkostenzuschüsse für Aushilfen</t>
  </si>
  <si>
    <t>673505 Aufwand Mobilitätssachbezug für MWSt</t>
  </si>
  <si>
    <t>1,9-</t>
  </si>
  <si>
    <t>673506 Aufwand Mobilitätssachbezug für MWSt</t>
  </si>
  <si>
    <t>289,4</t>
  </si>
  <si>
    <t>673600 Sonstige Personalkosten</t>
  </si>
  <si>
    <t>13,2-</t>
  </si>
  <si>
    <t>673610 Aufwendungen AMZ (arbeitsmed. Zentrum-Berufsgen.)</t>
  </si>
  <si>
    <t>25,1-</t>
  </si>
  <si>
    <t>673620 Telefongeb. für Mitarbeiter</t>
  </si>
  <si>
    <t>70,8</t>
  </si>
  <si>
    <t>673650 Aus- und Weiterbildungskosten (Mitarbeiter)</t>
  </si>
  <si>
    <t>15,7-</t>
  </si>
  <si>
    <t>673660 Aus- und Weiterbildungskosten (Zuschüsse)</t>
  </si>
  <si>
    <t>117,5</t>
  </si>
  <si>
    <t>889002 Sonstige Mobilitätssachbezüge</t>
  </si>
  <si>
    <t>889003 Mobilität MWSt</t>
  </si>
  <si>
    <t>289,4-</t>
  </si>
  <si>
    <t>3082035</t>
  </si>
  <si>
    <t>674000 EDV - Fremdkosten -</t>
  </si>
  <si>
    <t>12,1</t>
  </si>
  <si>
    <t>674100 EDV - MIETE HARDWARE</t>
  </si>
  <si>
    <t>99,6-</t>
  </si>
  <si>
    <t>674250 EDV - Nutz.entg./Lizenzk./Leas.Software</t>
  </si>
  <si>
    <t>12,9</t>
  </si>
  <si>
    <t>674300 EDV - Wartung</t>
  </si>
  <si>
    <t>127,4</t>
  </si>
  <si>
    <t>674401 SITA Kosten</t>
  </si>
  <si>
    <t>17,7-</t>
  </si>
  <si>
    <t>674500 User Helpdesk SAIT</t>
  </si>
  <si>
    <t>674501 Desktop &amp; Infrastrukturservice</t>
  </si>
  <si>
    <t>674502 Rechenzentrum SAIT</t>
  </si>
  <si>
    <t>674503 Anwendungsentwicklung SAIT</t>
  </si>
  <si>
    <t>674504 Netzwerk SAIT</t>
  </si>
  <si>
    <t>15,2</t>
  </si>
  <si>
    <t>674505 Telekommunikation</t>
  </si>
  <si>
    <t>2,1-</t>
  </si>
  <si>
    <t>674506 Funksysteme SITA</t>
  </si>
  <si>
    <t>2,6-</t>
  </si>
  <si>
    <t>674507 Projekt / Optionale Dienstleistungen</t>
  </si>
  <si>
    <t>26,0-</t>
  </si>
  <si>
    <t>691310 Leasingaufwendungen EDV-Equipment</t>
  </si>
  <si>
    <t>12,1-</t>
  </si>
  <si>
    <t>3082036</t>
  </si>
  <si>
    <t>679100 Selbstbeteiligung bei Versicherungsschäden</t>
  </si>
  <si>
    <t>94,2-</t>
  </si>
  <si>
    <t>680000 Haftpflichtversicherung</t>
  </si>
  <si>
    <t>3,4-</t>
  </si>
  <si>
    <t>681000 Kraftfahrzeug-Versicherung</t>
  </si>
  <si>
    <t>15,5</t>
  </si>
  <si>
    <t>682000 Sachversicherungen</t>
  </si>
  <si>
    <t>682100 BU-All Risk Versicherung</t>
  </si>
  <si>
    <t>21,2</t>
  </si>
  <si>
    <t>684000 Div. Versicherungen</t>
  </si>
  <si>
    <t>30,2</t>
  </si>
  <si>
    <t>685000 sonstige Gebäude-Versicherungen</t>
  </si>
  <si>
    <t>0,8</t>
  </si>
  <si>
    <t>3082037</t>
  </si>
  <si>
    <t>679700 Sonstige betriebliche Aufw. Konzern</t>
  </si>
  <si>
    <t>3082039</t>
  </si>
  <si>
    <t>470100 Sonstige Fremdleistungen</t>
  </si>
  <si>
    <t>600401 Fassaden - und Dachreinigung</t>
  </si>
  <si>
    <t>663000 Beiträge</t>
  </si>
  <si>
    <t>8,6</t>
  </si>
  <si>
    <t>665000 Reisekosten</t>
  </si>
  <si>
    <t>614,3</t>
  </si>
  <si>
    <t>665001 Reisekosten Übernachtungsaufwand</t>
  </si>
  <si>
    <t>22,8-</t>
  </si>
  <si>
    <t>665002 Reisekosten Fahrtkosten</t>
  </si>
  <si>
    <t>665003 Reisekosten Verpflegungsmehraufwand</t>
  </si>
  <si>
    <t>34,8-</t>
  </si>
  <si>
    <t>665004 Reisekosten KM-Geld Erst. AN</t>
  </si>
  <si>
    <t>665005 Reisekosten Sonstiges</t>
  </si>
  <si>
    <t>13,6-</t>
  </si>
  <si>
    <t>667000 Portokosten</t>
  </si>
  <si>
    <t>668000 Kosten des Geldverkehrs</t>
  </si>
  <si>
    <t>15,8</t>
  </si>
  <si>
    <t>668010 Mahngeb.- u. Säumniszuschläge (nicht n.a.Steuern)</t>
  </si>
  <si>
    <t>13,9-</t>
  </si>
  <si>
    <t>670000 Instandhaltung Dienst- und Schutzkleidung</t>
  </si>
  <si>
    <t>71,1-</t>
  </si>
  <si>
    <t>671000 Betriebskosten</t>
  </si>
  <si>
    <t>672000 Sanitätsmittel/Medikamente                      .</t>
  </si>
  <si>
    <t>41,2-</t>
  </si>
  <si>
    <t>675000 Planungsaufwendungen (nicht aktivierungsfähig)</t>
  </si>
  <si>
    <t>676000 Frachten und Zustellgebühren</t>
  </si>
  <si>
    <t>50,7-</t>
  </si>
  <si>
    <t>678900 Reparaturen an Gebäuden Dritter</t>
  </si>
  <si>
    <t>679000 Sonstige Kosten</t>
  </si>
  <si>
    <t>679010 Aufwendungen Festwert Marche (AV)</t>
  </si>
  <si>
    <t>679300 Kosten für Fremdpersonal</t>
  </si>
  <si>
    <t>39,6-</t>
  </si>
  <si>
    <t>679332 Shuttledienste</t>
  </si>
  <si>
    <t>679600 KOSTEN FUER DIE VEROEFFENTLICHUNG JAHRESABSCHLUSS</t>
  </si>
  <si>
    <t>0,4-</t>
  </si>
  <si>
    <t>679920 Sonstige Kfz.-Kosten</t>
  </si>
  <si>
    <t>690000 Mietaufw. Gebäude und Flächen</t>
  </si>
  <si>
    <t>7,7</t>
  </si>
  <si>
    <t>691000 Entschädigungszahlungen für Gestattungen</t>
  </si>
  <si>
    <t>44,4</t>
  </si>
  <si>
    <t>691010 Sonstige Miet- und Pachtzahlungen bewegl. WG</t>
  </si>
  <si>
    <t>42,7-</t>
  </si>
  <si>
    <t>691200 Leasing für Serienfahrzeuge (bis 2006: Busse)</t>
  </si>
  <si>
    <t>691390 Leasingaufwendungen Sonst. bewegliche WG</t>
  </si>
  <si>
    <t>10,2-</t>
  </si>
  <si>
    <t>3082030/00</t>
  </si>
  <si>
    <t>600300 Fernsprech/Fernschreibgebühren</t>
  </si>
  <si>
    <t>600310 Rundfunk/Fernsehgebühren</t>
  </si>
  <si>
    <t>660000 Büromaterialien und Drucksachen</t>
  </si>
  <si>
    <t>3,0-</t>
  </si>
  <si>
    <t>660009 Büromaterial (Lagermaterial)</t>
  </si>
  <si>
    <t>1,2-</t>
  </si>
  <si>
    <t>661000 Zeitschriften/Fachliteratur/Informationsmaterial</t>
  </si>
  <si>
    <t>18,4-</t>
  </si>
  <si>
    <t>3082030</t>
  </si>
  <si>
    <t>2,6</t>
  </si>
  <si>
    <t>3082000</t>
  </si>
  <si>
    <t>Summe Sonstige betriebliche Aufwendungen</t>
  </si>
  <si>
    <t>Betriebsergebnis</t>
  </si>
  <si>
    <t>4000000</t>
  </si>
  <si>
    <t>Finanzergebnis</t>
  </si>
  <si>
    <t>4011000</t>
  </si>
  <si>
    <t>ERTRAEGE AUS BETEILIGUNGEN</t>
  </si>
  <si>
    <t>4011020</t>
  </si>
  <si>
    <t>BEI VERBUNDENEN UNTERNEHMEN</t>
  </si>
  <si>
    <t>---------------------------</t>
  </si>
  <si>
    <t>263010 SAIT -Erträge aus Beteil. Kapitalgesellschaften</t>
  </si>
  <si>
    <t>11,9</t>
  </si>
  <si>
    <t>4012000</t>
  </si>
  <si>
    <t>222141 Erhaltene Gewinnabführung FDE GmbH</t>
  </si>
  <si>
    <t>56,3-</t>
  </si>
  <si>
    <t>4013000</t>
  </si>
  <si>
    <t>ERTRAEGE AUS ANDEREN WERTPAPIEREN UND</t>
  </si>
  <si>
    <t>AUSLEIHUNGEN DES FINANZANLAGE-VERMOEGENS</t>
  </si>
  <si>
    <t>4013010</t>
  </si>
  <si>
    <t>261000 Erträge aus Finanzanlagen</t>
  </si>
  <si>
    <t>51,6</t>
  </si>
  <si>
    <t>261200 Erträge aus Finanzanlagen  (CARGO GmbH)</t>
  </si>
  <si>
    <t>41.337,2-</t>
  </si>
  <si>
    <t>4014000</t>
  </si>
  <si>
    <t>SONSTIGE ZINSEN UND AEHNLICHE ERTRAEGE</t>
  </si>
  <si>
    <t>4014020</t>
  </si>
  <si>
    <t>260000 Zinserträge</t>
  </si>
  <si>
    <t>6,2</t>
  </si>
  <si>
    <t>260001 Zinserträge nach §233a AO USt + ErtrSt</t>
  </si>
  <si>
    <t>260003 Zinserträge aus Anlage von Termingeldern</t>
  </si>
  <si>
    <t>18,3</t>
  </si>
  <si>
    <t>260100 Zinserträge aus Darlehen an verbundene Unternehmen</t>
  </si>
  <si>
    <t>45,8</t>
  </si>
  <si>
    <t>260200 Zinserträge aus Darlehen an Beteiligungsunternehme</t>
  </si>
  <si>
    <t>30,1</t>
  </si>
  <si>
    <t>4014040</t>
  </si>
  <si>
    <t>260002 Erträge aus Verzugszinsen (DEBITOREN)</t>
  </si>
  <si>
    <t>85,7</t>
  </si>
  <si>
    <t>4014050</t>
  </si>
  <si>
    <t>262000 Erträge aus Auf- und Abzinsung</t>
  </si>
  <si>
    <t>95,4</t>
  </si>
  <si>
    <t>SUMME SONSTIGE ZINSEN UND AEHNLICHE ERTRAEGE</t>
  </si>
  <si>
    <t>4015000</t>
  </si>
  <si>
    <t>AUFWENDUNGEN AUS VERLUST-UEBERNAHME</t>
  </si>
  <si>
    <t>222130 Aufwand aus Verlustübernahme FDI GmbH</t>
  </si>
  <si>
    <t>21,9-</t>
  </si>
  <si>
    <t>4017000</t>
  </si>
  <si>
    <t>ZINSEN UND AEHNLICHE AUFWENDUNGEN</t>
  </si>
  <si>
    <t>4017020</t>
  </si>
  <si>
    <t>241100 Zinsen langfr. Darlehen (FDG:Schuldschein)</t>
  </si>
  <si>
    <t>241140 Zinsen langfr. Darlehen Div.</t>
  </si>
  <si>
    <t>7,0-</t>
  </si>
  <si>
    <t>241160 Zinsen Förderdarlehen Corona</t>
  </si>
  <si>
    <t>38,1-</t>
  </si>
  <si>
    <t>7,2-</t>
  </si>
  <si>
    <t>4017030</t>
  </si>
  <si>
    <t>242301 Zinsen für Kaution</t>
  </si>
  <si>
    <t>39,7</t>
  </si>
  <si>
    <t>243000 Zinsen für Gesellschafterdarlehen</t>
  </si>
  <si>
    <t>15,1-</t>
  </si>
  <si>
    <t>4017050</t>
  </si>
  <si>
    <t>241220 Zinsen für Darlehen der freiw.Unterstützungskasse</t>
  </si>
  <si>
    <t>5,2</t>
  </si>
  <si>
    <t>247000 Zinsen für Kontokorrentkredite</t>
  </si>
  <si>
    <t>90,4-</t>
  </si>
  <si>
    <t>247200 ZINSAUFW. F. DARLEHEN VERBUNDENE UNTERN.</t>
  </si>
  <si>
    <t>450,3</t>
  </si>
  <si>
    <t>247301 Vorhaltekosten/ Kreditprovision</t>
  </si>
  <si>
    <t>248000 Sonstige Zinsen</t>
  </si>
  <si>
    <t>675,3</t>
  </si>
  <si>
    <t>248001 N.a. ZINSAUFW.u. NL auf ErtrSt-Nachz.</t>
  </si>
  <si>
    <t>248100 Aufwand aus Auf- und Abzinsung</t>
  </si>
  <si>
    <t>4017060</t>
  </si>
  <si>
    <t>249100 Avalprovisionen</t>
  </si>
  <si>
    <t>4017080</t>
  </si>
  <si>
    <t>249200 Schuldschein-Kreditprovision u. Bereitstellgebühr</t>
  </si>
  <si>
    <t>21,2-</t>
  </si>
  <si>
    <t>249300 RCF Provision u. Beteiligungsgebühr</t>
  </si>
  <si>
    <t>238,8</t>
  </si>
  <si>
    <t>135,2</t>
  </si>
  <si>
    <t>4017090</t>
  </si>
  <si>
    <t>241200 Aufwand  aus Zinsswaps mit Dritten</t>
  </si>
  <si>
    <t>241201 Aufwand aus Zinsswaps (wirtschaftl. Einheit)</t>
  </si>
  <si>
    <t>SUMME ZINSEN UND AEHNLICHE AUFWENDUNGEN</t>
  </si>
  <si>
    <t>7,6</t>
  </si>
  <si>
    <t>5010000</t>
  </si>
  <si>
    <t>STEUERN VOM EINKOMMEN UND VOM ERTRAG</t>
  </si>
  <si>
    <t>650000 Gewerbeertragsteuer</t>
  </si>
  <si>
    <t>37,1</t>
  </si>
  <si>
    <t>650001 Gewerbeertragsteuer Vorjahre</t>
  </si>
  <si>
    <t>246,0-</t>
  </si>
  <si>
    <t>653000 KOERPERSCHAFTSTEUER</t>
  </si>
  <si>
    <t>61,5</t>
  </si>
  <si>
    <t>653001 KOERPERSCHAFTSTEUER Vorjahre</t>
  </si>
  <si>
    <t>96,2</t>
  </si>
  <si>
    <t>SUMME STEUERN VOM EINKOMMEN UND VOM ERTRAG</t>
  </si>
  <si>
    <t>41,9</t>
  </si>
  <si>
    <t>5000000</t>
  </si>
  <si>
    <t>37,2-</t>
  </si>
  <si>
    <t>6010000</t>
  </si>
  <si>
    <t>SONSTIGE STEUERN</t>
  </si>
  <si>
    <t>================</t>
  </si>
  <si>
    <t>652000 Grundsteuer</t>
  </si>
  <si>
    <t>68,2-</t>
  </si>
  <si>
    <t>655000 Umsatzsteuer (nicht abzugsfähige Vorsteuer)</t>
  </si>
  <si>
    <t>655002 Umsatzsteuer BP</t>
  </si>
  <si>
    <t>655003 nabzf. VST (n.a. Betriebsausgaben)</t>
  </si>
  <si>
    <t>656000 Kraftfahrzeugsteuer</t>
  </si>
  <si>
    <t>SUMME SONSTIGE STEUERN</t>
  </si>
  <si>
    <t>57,4-</t>
  </si>
  <si>
    <t>======================</t>
  </si>
  <si>
    <t>6000000</t>
  </si>
  <si>
    <t>Jahresüberschuss / Jahresfehlbetrag</t>
  </si>
  <si>
    <t>7000000</t>
  </si>
  <si>
    <t>Ergebnisverwendung</t>
  </si>
  <si>
    <t>8090000</t>
  </si>
  <si>
    <t>Bilanzgewinn/-verlust</t>
  </si>
  <si>
    <t>49,0</t>
  </si>
  <si>
    <t>9020000</t>
  </si>
  <si>
    <t>VERRECHNUNG KALKULATORISCHE KOSTEN</t>
  </si>
  <si>
    <t>780500 KALK. ABSCHREIBUNG AUF GRUNDSTUECKE (&gt;0)</t>
  </si>
  <si>
    <t>4,3</t>
  </si>
  <si>
    <t>780501 KALK. ABSCHREIBUNG AUF GRUNDSTUECKE (&lt;0)</t>
  </si>
  <si>
    <t>780511 KALK. ABSCHREIBUNG AUF HOCHBAUTEN (&lt;0)</t>
  </si>
  <si>
    <t>780520 KALK. ABSCHREIBUNG AUF TIEFBAUTEN (&gt;0)</t>
  </si>
  <si>
    <t>780521 KALK. ABSCHREIBUNG AUF TIEFBAUTEN (&lt;0)</t>
  </si>
  <si>
    <t>780530 KALK. ABSCHREIBUNG AUF BETRIEBSANLAGEN (&gt;0)</t>
  </si>
  <si>
    <t>5,7</t>
  </si>
  <si>
    <t>780531 KALK. ABSCHREIBUNG AUF BETRIEBSANLAGEN (&lt;0)</t>
  </si>
  <si>
    <t>2,2-</t>
  </si>
  <si>
    <t>780540 KALK. ABSCHREIBUNG AUF B &amp; G-AUSSTATTUNG (&gt;0)</t>
  </si>
  <si>
    <t>8,5</t>
  </si>
  <si>
    <t>780541 KALK. ABSCHREIBUNG AUF B &amp; G-AUSSTATTUNG (&lt;0)</t>
  </si>
  <si>
    <t>780550 KALK. ABSCHREIBUNG AUF SOFTWARE (&gt;0)</t>
  </si>
  <si>
    <t>19,8</t>
  </si>
  <si>
    <t>780551 KALK. ABSCHREIBUNG AUF SOFTWARE (&lt;0)</t>
  </si>
  <si>
    <t>780609 Verrechnung kalk. Abschreibung</t>
  </si>
  <si>
    <t>3,0</t>
  </si>
  <si>
    <t>780610 kalk. Abschreibungen auf immat. Wirtschaftsgüter</t>
  </si>
  <si>
    <t>21,1</t>
  </si>
  <si>
    <t>780611 Verrechnung kalk. Abschreibung &lt;0</t>
  </si>
  <si>
    <t>423,0</t>
  </si>
  <si>
    <t>780612 Aufwertung Wertberichtigung Normal-AfA</t>
  </si>
  <si>
    <t>780900 Verrechnung kalk. Abschreibung</t>
  </si>
  <si>
    <t>781200 KALK. ZINSEN</t>
  </si>
  <si>
    <t>3,3-</t>
  </si>
  <si>
    <t>781501 KALK. ZINSEN GRUNDSTUECKE</t>
  </si>
  <si>
    <t>0,2</t>
  </si>
  <si>
    <t>781509 KALK. ZINSEN &lt; 0</t>
  </si>
  <si>
    <t>781521 KALK. ZINSEN TIEFBAUTEN</t>
  </si>
  <si>
    <t>6,1</t>
  </si>
  <si>
    <t>781531 KALK. ZINSEN BETRIEBSANLAGEN</t>
  </si>
  <si>
    <t>4,4</t>
  </si>
  <si>
    <t>781539 KALK. ZINSEN &lt; 0</t>
  </si>
  <si>
    <t>34,5</t>
  </si>
  <si>
    <t>781541 KALK. ZINSEN BETRIEBS- &amp; GESCHAEFTSAUSSTATTUNG</t>
  </si>
  <si>
    <t>781549 KALK. ZINSEN &lt; 0</t>
  </si>
  <si>
    <t>27,0</t>
  </si>
  <si>
    <t>781551 KALK. ZINSEN SOFTWARE</t>
  </si>
  <si>
    <t>781559 KALK. ZINSEN &lt; 0</t>
  </si>
  <si>
    <t>1.947,4</t>
  </si>
  <si>
    <t>781600 KALK. ZINSEN</t>
  </si>
  <si>
    <t>781900 Verrechnung kalk. Zinsen</t>
  </si>
  <si>
    <t>9000000</t>
  </si>
  <si>
    <t>Jahr 2025</t>
  </si>
  <si>
    <t>Jahr 2024</t>
  </si>
  <si>
    <t>25,1</t>
  </si>
  <si>
    <t>73,6-</t>
  </si>
  <si>
    <t>22,9</t>
  </si>
  <si>
    <t>72,0-</t>
  </si>
  <si>
    <t>67,7-</t>
  </si>
  <si>
    <t>20,7-</t>
  </si>
  <si>
    <t>10,4-</t>
  </si>
  <si>
    <t>76,0-</t>
  </si>
  <si>
    <t>12,8-</t>
  </si>
  <si>
    <t>10,8-</t>
  </si>
  <si>
    <t>0,1-</t>
  </si>
  <si>
    <t>15,3</t>
  </si>
  <si>
    <t>6,4</t>
  </si>
  <si>
    <r>
      <t>Erträge aus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 xml:space="preserve"> Ausleihungen des Finanzanlagevermögens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</si>
</sst>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color indexed="10"/>
      <name val="Arial"/>
      <family val="2"/>
    </font>
    <font>
      <sz val="9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4"/>
      <color rgb="FF000000"/>
      <name val="Calibri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color rgb="FF000000"/>
      <name val="Calibri"/>
      <family val="2"/>
    </font>
    <font>
      <sz val="9"/>
      <color indexed="1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1"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0" fontId="3" fillId="0" borderId="1" xfId="1" applyFont="1" applyBorder="1" applyAlignment="1">
      <alignment horizontal="centerContinuous"/>
    </xf>
    <xf numFmtId="14" fontId="3" fillId="0" borderId="2" xfId="1" applyNumberFormat="1" applyFont="1" applyBorder="1" applyAlignment="1">
      <alignment horizontal="centerContinuous"/>
    </xf>
    <xf numFmtId="0" fontId="3" fillId="0" borderId="0" xfId="1" applyFont="1" applyAlignment="1">
      <alignment horizontal="centerContinuous"/>
    </xf>
    <xf numFmtId="4" fontId="3" fillId="0" borderId="2" xfId="1" applyNumberFormat="1" applyFont="1" applyBorder="1" applyAlignment="1">
      <alignment horizontal="centerContinuous"/>
    </xf>
    <xf numFmtId="4" fontId="3" fillId="0" borderId="3" xfId="1" applyNumberFormat="1" applyFont="1" applyBorder="1" applyAlignment="1">
      <alignment horizontal="center"/>
    </xf>
    <xf numFmtId="4" fontId="3" fillId="0" borderId="2" xfId="1" applyNumberFormat="1" applyFont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0" fontId="3" fillId="0" borderId="0" xfId="1" applyFont="1"/>
    <xf numFmtId="4" fontId="2" fillId="0" borderId="0" xfId="1" applyNumberFormat="1"/>
    <xf numFmtId="4" fontId="2" fillId="0" borderId="5" xfId="2" applyNumberFormat="1" applyFont="1" applyBorder="1"/>
    <xf numFmtId="4" fontId="2" fillId="0" borderId="2" xfId="2" applyNumberFormat="1" applyFont="1" applyBorder="1"/>
    <xf numFmtId="0" fontId="5" fillId="0" borderId="0" xfId="1" applyFont="1"/>
    <xf numFmtId="0" fontId="2" fillId="0" borderId="0" xfId="1" applyAlignment="1">
      <alignment horizontal="centerContinuous"/>
    </xf>
    <xf numFmtId="4" fontId="2" fillId="0" borderId="0" xfId="1" applyNumberFormat="1" applyAlignment="1">
      <alignment horizontal="centerContinuous"/>
    </xf>
    <xf numFmtId="4" fontId="7" fillId="0" borderId="0" xfId="0" applyNumberFormat="1" applyFont="1"/>
    <xf numFmtId="0" fontId="2" fillId="0" borderId="10" xfId="1" applyBorder="1" applyAlignment="1">
      <alignment horizontal="centerContinuous"/>
    </xf>
    <xf numFmtId="4" fontId="0" fillId="0" borderId="0" xfId="0" applyNumberFormat="1"/>
    <xf numFmtId="0" fontId="8" fillId="0" borderId="0" xfId="0" applyFont="1"/>
    <xf numFmtId="3" fontId="9" fillId="0" borderId="0" xfId="0" applyNumberFormat="1" applyFont="1" applyAlignment="1">
      <alignment horizontal="center" vertical="center" wrapText="1" readingOrder="1"/>
    </xf>
    <xf numFmtId="4" fontId="10" fillId="0" borderId="0" xfId="0" applyNumberFormat="1" applyFont="1" applyAlignment="1">
      <alignment horizontal="center" vertical="center" wrapText="1" readingOrder="1"/>
    </xf>
    <xf numFmtId="3" fontId="10" fillId="0" borderId="0" xfId="0" applyNumberFormat="1" applyFont="1" applyAlignment="1">
      <alignment horizontal="center" vertical="center" wrapText="1" readingOrder="1"/>
    </xf>
    <xf numFmtId="0" fontId="6" fillId="0" borderId="0" xfId="1" applyFont="1"/>
    <xf numFmtId="0" fontId="3" fillId="0" borderId="17" xfId="1" applyFont="1" applyBorder="1" applyAlignment="1">
      <alignment horizontal="left"/>
    </xf>
    <xf numFmtId="4" fontId="3" fillId="0" borderId="18" xfId="1" applyNumberFormat="1" applyFont="1" applyBorder="1"/>
    <xf numFmtId="4" fontId="3" fillId="0" borderId="19" xfId="1" applyNumberFormat="1" applyFont="1" applyBorder="1"/>
    <xf numFmtId="4" fontId="2" fillId="0" borderId="4" xfId="2" applyNumberFormat="1" applyFont="1" applyBorder="1"/>
    <xf numFmtId="10" fontId="0" fillId="0" borderId="0" xfId="0" applyNumberFormat="1"/>
    <xf numFmtId="4" fontId="2" fillId="0" borderId="4" xfId="1" applyNumberFormat="1" applyBorder="1"/>
    <xf numFmtId="14" fontId="2" fillId="0" borderId="0" xfId="1" applyNumberFormat="1" applyAlignment="1">
      <alignment horizontal="centerContinuous"/>
    </xf>
    <xf numFmtId="0" fontId="2" fillId="0" borderId="6" xfId="1" applyBorder="1"/>
    <xf numFmtId="0" fontId="2" fillId="0" borderId="7" xfId="1" applyBorder="1"/>
    <xf numFmtId="0" fontId="2" fillId="0" borderId="21" xfId="1" applyBorder="1"/>
    <xf numFmtId="4" fontId="2" fillId="0" borderId="22" xfId="1" applyNumberFormat="1" applyBorder="1"/>
    <xf numFmtId="0" fontId="2" fillId="0" borderId="8" xfId="1" applyBorder="1"/>
    <xf numFmtId="0" fontId="2" fillId="0" borderId="1" xfId="1" applyBorder="1"/>
    <xf numFmtId="14" fontId="3" fillId="0" borderId="0" xfId="1" quotePrefix="1" applyNumberFormat="1" applyFont="1" applyAlignment="1">
      <alignment horizontal="centerContinuous"/>
    </xf>
    <xf numFmtId="4" fontId="3" fillId="0" borderId="0" xfId="1" applyNumberFormat="1" applyFont="1" applyAlignment="1">
      <alignment horizontal="center"/>
    </xf>
    <xf numFmtId="0" fontId="2" fillId="0" borderId="16" xfId="1" applyBorder="1"/>
    <xf numFmtId="0" fontId="2" fillId="0" borderId="17" xfId="1" applyBorder="1"/>
    <xf numFmtId="0" fontId="2" fillId="0" borderId="23" xfId="1" applyBorder="1"/>
    <xf numFmtId="4" fontId="2" fillId="0" borderId="24" xfId="1" applyNumberFormat="1" applyBorder="1" applyAlignment="1">
      <alignment horizontal="center"/>
    </xf>
    <xf numFmtId="4" fontId="2" fillId="0" borderId="17" xfId="1" applyNumberFormat="1" applyBorder="1" applyAlignment="1">
      <alignment horizontal="center"/>
    </xf>
    <xf numFmtId="4" fontId="2" fillId="0" borderId="19" xfId="1" applyNumberFormat="1" applyBorder="1" applyAlignment="1">
      <alignment horizontal="center"/>
    </xf>
    <xf numFmtId="4" fontId="2" fillId="0" borderId="23" xfId="1" applyNumberFormat="1" applyBorder="1" applyAlignment="1">
      <alignment horizontal="center"/>
    </xf>
    <xf numFmtId="4" fontId="2" fillId="0" borderId="5" xfId="1" applyNumberFormat="1" applyBorder="1" applyAlignment="1">
      <alignment horizontal="center"/>
    </xf>
    <xf numFmtId="4" fontId="2" fillId="0" borderId="1" xfId="1" applyNumberFormat="1" applyBorder="1" applyAlignment="1">
      <alignment horizontal="center"/>
    </xf>
    <xf numFmtId="4" fontId="2" fillId="0" borderId="2" xfId="1" applyNumberFormat="1" applyBorder="1" applyAlignment="1">
      <alignment horizontal="center"/>
    </xf>
    <xf numFmtId="4" fontId="2" fillId="0" borderId="1" xfId="1" applyNumberFormat="1" applyBorder="1"/>
    <xf numFmtId="4" fontId="2" fillId="0" borderId="2" xfId="1" applyNumberFormat="1" applyBorder="1"/>
    <xf numFmtId="4" fontId="2" fillId="0" borderId="5" xfId="1" applyNumberFormat="1" applyBorder="1"/>
    <xf numFmtId="0" fontId="2" fillId="0" borderId="0" xfId="1" applyAlignment="1">
      <alignment horizontal="left"/>
    </xf>
    <xf numFmtId="0" fontId="2" fillId="0" borderId="5" xfId="1" applyBorder="1"/>
    <xf numFmtId="4" fontId="2" fillId="0" borderId="25" xfId="1" applyNumberFormat="1" applyBorder="1"/>
    <xf numFmtId="4" fontId="2" fillId="0" borderId="26" xfId="1" applyNumberFormat="1" applyBorder="1"/>
    <xf numFmtId="4" fontId="2" fillId="0" borderId="27" xfId="1" applyNumberFormat="1" applyBorder="1"/>
    <xf numFmtId="0" fontId="3" fillId="0" borderId="0" xfId="1" applyFont="1" applyAlignment="1">
      <alignment horizontal="right"/>
    </xf>
    <xf numFmtId="4" fontId="5" fillId="0" borderId="0" xfId="1" applyNumberFormat="1" applyFont="1"/>
    <xf numFmtId="4" fontId="2" fillId="0" borderId="28" xfId="1" applyNumberFormat="1" applyBorder="1"/>
    <xf numFmtId="4" fontId="2" fillId="0" borderId="20" xfId="1" applyNumberFormat="1" applyBorder="1"/>
    <xf numFmtId="4" fontId="2" fillId="0" borderId="29" xfId="1" applyNumberFormat="1" applyBorder="1"/>
    <xf numFmtId="0" fontId="2" fillId="0" borderId="4" xfId="1" applyBorder="1"/>
    <xf numFmtId="4" fontId="2" fillId="0" borderId="0" xfId="2" applyNumberFormat="1" applyFont="1"/>
    <xf numFmtId="0" fontId="2" fillId="0" borderId="0" xfId="1" quotePrefix="1"/>
    <xf numFmtId="4" fontId="2" fillId="0" borderId="3" xfId="1" applyNumberFormat="1" applyBorder="1"/>
    <xf numFmtId="4" fontId="2" fillId="0" borderId="5" xfId="1" quotePrefix="1" applyNumberFormat="1" applyBorder="1" applyAlignment="1">
      <alignment horizontal="right"/>
    </xf>
    <xf numFmtId="4" fontId="2" fillId="0" borderId="4" xfId="1" quotePrefix="1" applyNumberFormat="1" applyBorder="1" applyAlignment="1">
      <alignment horizontal="right"/>
    </xf>
    <xf numFmtId="4" fontId="2" fillId="0" borderId="30" xfId="1" applyNumberFormat="1" applyBorder="1"/>
    <xf numFmtId="4" fontId="2" fillId="0" borderId="31" xfId="1" applyNumberFormat="1" applyBorder="1"/>
    <xf numFmtId="0" fontId="6" fillId="0" borderId="1" xfId="1" applyFont="1" applyBorder="1"/>
    <xf numFmtId="4" fontId="2" fillId="0" borderId="18" xfId="1" applyNumberFormat="1" applyBorder="1"/>
    <xf numFmtId="0" fontId="6" fillId="0" borderId="23" xfId="1" applyFont="1" applyBorder="1"/>
    <xf numFmtId="4" fontId="2" fillId="0" borderId="23" xfId="1" applyNumberFormat="1" applyBorder="1"/>
    <xf numFmtId="4" fontId="2" fillId="0" borderId="32" xfId="1" applyNumberFormat="1" applyBorder="1"/>
    <xf numFmtId="4" fontId="2" fillId="0" borderId="25" xfId="2" applyNumberFormat="1" applyFont="1" applyBorder="1"/>
    <xf numFmtId="4" fontId="2" fillId="0" borderId="20" xfId="2" applyNumberFormat="1" applyFont="1" applyBorder="1"/>
    <xf numFmtId="0" fontId="4" fillId="2" borderId="32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4" fontId="4" fillId="0" borderId="0" xfId="0" applyNumberFormat="1" applyFont="1" applyAlignment="1">
      <alignment horizontal="right" vertical="top"/>
    </xf>
    <xf numFmtId="0" fontId="4" fillId="0" borderId="0" xfId="0" quotePrefix="1" applyFont="1" applyAlignment="1">
      <alignment vertical="top"/>
    </xf>
    <xf numFmtId="0" fontId="4" fillId="0" borderId="0" xfId="0" applyFont="1" applyAlignment="1">
      <alignment vertical="top" wrapText="1"/>
    </xf>
    <xf numFmtId="0" fontId="11" fillId="0" borderId="0" xfId="1" applyFont="1" applyAlignment="1">
      <alignment horizontal="center"/>
    </xf>
    <xf numFmtId="4" fontId="6" fillId="0" borderId="0" xfId="1" applyNumberFormat="1" applyFont="1"/>
    <xf numFmtId="14" fontId="6" fillId="0" borderId="10" xfId="1" applyNumberFormat="1" applyFont="1" applyBorder="1" applyAlignment="1">
      <alignment horizontal="center"/>
    </xf>
    <xf numFmtId="0" fontId="6" fillId="0" borderId="6" xfId="1" applyFont="1" applyBorder="1" applyAlignment="1">
      <alignment horizontal="right"/>
    </xf>
    <xf numFmtId="0" fontId="6" fillId="0" borderId="7" xfId="1" applyFont="1" applyBorder="1" applyAlignment="1">
      <alignment horizontal="right"/>
    </xf>
    <xf numFmtId="0" fontId="6" fillId="0" borderId="9" xfId="1" applyFont="1" applyBorder="1" applyAlignment="1">
      <alignment horizontal="left"/>
    </xf>
    <xf numFmtId="0" fontId="6" fillId="0" borderId="12" xfId="1" applyFont="1" applyBorder="1"/>
    <xf numFmtId="0" fontId="6" fillId="0" borderId="9" xfId="1" applyFont="1" applyBorder="1"/>
    <xf numFmtId="0" fontId="6" fillId="0" borderId="8" xfId="1" applyFont="1" applyBorder="1" applyAlignment="1">
      <alignment horizontal="right"/>
    </xf>
    <xf numFmtId="0" fontId="6" fillId="0" borderId="0" xfId="1" applyFont="1" applyAlignment="1">
      <alignment horizontal="right"/>
    </xf>
    <xf numFmtId="0" fontId="6" fillId="0" borderId="4" xfId="1" applyFont="1" applyBorder="1" applyAlignment="1">
      <alignment horizontal="left"/>
    </xf>
    <xf numFmtId="0" fontId="11" fillId="0" borderId="11" xfId="1" quotePrefix="1" applyFont="1" applyBorder="1" applyAlignment="1">
      <alignment horizontal="center"/>
    </xf>
    <xf numFmtId="0" fontId="11" fillId="0" borderId="4" xfId="1" quotePrefix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4" fontId="6" fillId="0" borderId="14" xfId="1" applyNumberFormat="1" applyFont="1" applyBorder="1" applyAlignment="1">
      <alignment horizontal="center" vertical="center"/>
    </xf>
    <xf numFmtId="4" fontId="6" fillId="0" borderId="15" xfId="1" applyNumberFormat="1" applyFont="1" applyBorder="1" applyAlignment="1">
      <alignment horizontal="center" vertical="center"/>
    </xf>
    <xf numFmtId="0" fontId="6" fillId="0" borderId="0" xfId="1" applyFont="1" applyAlignment="1">
      <alignment horizontal="left"/>
    </xf>
    <xf numFmtId="4" fontId="6" fillId="0" borderId="12" xfId="1" applyNumberFormat="1" applyFont="1" applyBorder="1" applyAlignment="1">
      <alignment horizontal="center" vertical="center"/>
    </xf>
    <xf numFmtId="4" fontId="6" fillId="0" borderId="9" xfId="1" applyNumberFormat="1" applyFont="1" applyBorder="1" applyAlignment="1">
      <alignment horizontal="center" vertical="center"/>
    </xf>
    <xf numFmtId="4" fontId="6" fillId="0" borderId="11" xfId="1" applyNumberFormat="1" applyFont="1" applyBorder="1"/>
    <xf numFmtId="4" fontId="6" fillId="0" borderId="4" xfId="1" applyNumberFormat="1" applyFont="1" applyBorder="1"/>
    <xf numFmtId="10" fontId="6" fillId="0" borderId="0" xfId="1" applyNumberFormat="1" applyFont="1"/>
    <xf numFmtId="4" fontId="6" fillId="0" borderId="13" xfId="1" applyNumberFormat="1" applyFont="1" applyBorder="1"/>
    <xf numFmtId="0" fontId="6" fillId="0" borderId="0" xfId="2" applyFont="1"/>
    <xf numFmtId="3" fontId="12" fillId="0" borderId="0" xfId="0" applyNumberFormat="1" applyFont="1" applyAlignment="1">
      <alignment horizontal="right" wrapText="1" readingOrder="1"/>
    </xf>
    <xf numFmtId="3" fontId="12" fillId="0" borderId="0" xfId="0" applyNumberFormat="1" applyFont="1" applyAlignment="1">
      <alignment horizontal="right" vertical="top" wrapText="1" readingOrder="1"/>
    </xf>
    <xf numFmtId="9" fontId="12" fillId="0" borderId="0" xfId="0" applyNumberFormat="1" applyFont="1" applyAlignment="1">
      <alignment horizontal="right" wrapText="1" readingOrder="1"/>
    </xf>
    <xf numFmtId="3" fontId="6" fillId="0" borderId="0" xfId="1" applyNumberFormat="1" applyFont="1"/>
    <xf numFmtId="4" fontId="6" fillId="0" borderId="14" xfId="1" applyNumberFormat="1" applyFont="1" applyBorder="1"/>
    <xf numFmtId="4" fontId="6" fillId="0" borderId="15" xfId="1" applyNumberFormat="1" applyFont="1" applyBorder="1"/>
    <xf numFmtId="0" fontId="11" fillId="0" borderId="8" xfId="1" applyFont="1" applyBorder="1" applyAlignment="1">
      <alignment horizontal="right"/>
    </xf>
    <xf numFmtId="0" fontId="11" fillId="0" borderId="0" xfId="1" applyFont="1"/>
    <xf numFmtId="4" fontId="11" fillId="0" borderId="11" xfId="1" applyNumberFormat="1" applyFont="1" applyBorder="1"/>
    <xf numFmtId="4" fontId="11" fillId="0" borderId="4" xfId="1" applyNumberFormat="1" applyFont="1" applyBorder="1"/>
    <xf numFmtId="4" fontId="6" fillId="0" borderId="20" xfId="1" applyNumberFormat="1" applyFont="1" applyBorder="1"/>
    <xf numFmtId="0" fontId="11" fillId="0" borderId="0" xfId="1" applyFont="1" applyAlignment="1">
      <alignment horizontal="left"/>
    </xf>
    <xf numFmtId="0" fontId="6" fillId="0" borderId="16" xfId="1" applyFont="1" applyBorder="1"/>
    <xf numFmtId="0" fontId="6" fillId="0" borderId="17" xfId="1" applyFont="1" applyBorder="1"/>
    <xf numFmtId="0" fontId="6" fillId="0" borderId="0" xfId="0" applyFont="1"/>
    <xf numFmtId="9" fontId="6" fillId="0" borderId="0" xfId="0" applyNumberFormat="1" applyFont="1"/>
    <xf numFmtId="0" fontId="11" fillId="0" borderId="4" xfId="1" applyFont="1" applyBorder="1"/>
    <xf numFmtId="0" fontId="6" fillId="0" borderId="4" xfId="1" applyFont="1" applyBorder="1"/>
    <xf numFmtId="0" fontId="6" fillId="0" borderId="15" xfId="1" applyFont="1" applyBorder="1"/>
    <xf numFmtId="0" fontId="14" fillId="0" borderId="0" xfId="0" applyFont="1" applyAlignment="1">
      <alignment vertical="top"/>
    </xf>
    <xf numFmtId="0" fontId="11" fillId="0" borderId="0" xfId="1" applyFont="1" applyAlignment="1">
      <alignment horizontal="center"/>
    </xf>
  </cellXfs>
  <cellStyles count="3">
    <cellStyle name="Normal" xfId="0" builtinId="0"/>
    <cellStyle name="Standard_ANLAG00" xfId="1" xr:uid="{9AFE7CD7-D3D3-4C8F-84D0-929A39427EC0}"/>
    <cellStyle name="Standard_JA_Anlagen" xfId="2" xr:uid="{37CD024E-06C9-48DF-821F-92B41F5E8F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0BD7-20CD-4C75-8AAE-8CDDC811B833}">
  <dimension ref="A1:F1068"/>
  <sheetViews>
    <sheetView tabSelected="1" zoomScale="115" zoomScaleNormal="115" workbookViewId="0">
      <selection activeCell="B33" sqref="B33"/>
    </sheetView>
  </sheetViews>
  <sheetFormatPr defaultColWidth="10.5703125" defaultRowHeight="11.25" x14ac:dyDescent="0.2"/>
  <cols>
    <col min="1" max="1" width="10.5703125" style="79"/>
    <col min="2" max="2" width="64.28515625" style="79" customWidth="1"/>
    <col min="3" max="3" width="12" style="79" customWidth="1"/>
    <col min="4" max="5" width="11.28515625" style="79" customWidth="1"/>
    <col min="6" max="6" width="5" style="79" customWidth="1"/>
    <col min="7" max="16384" width="10.5703125" style="79"/>
  </cols>
  <sheetData>
    <row r="1" spans="1:6" s="84" customFormat="1" ht="56.25" x14ac:dyDescent="0.2">
      <c r="A1" s="78" t="s">
        <v>124</v>
      </c>
      <c r="B1" s="78" t="s">
        <v>125</v>
      </c>
      <c r="C1" s="78" t="s">
        <v>126</v>
      </c>
      <c r="D1" s="78" t="s">
        <v>127</v>
      </c>
      <c r="E1" s="78" t="s">
        <v>128</v>
      </c>
      <c r="F1" s="78" t="s">
        <v>129</v>
      </c>
    </row>
    <row r="2" spans="1:6" x14ac:dyDescent="0.2">
      <c r="A2" s="80"/>
      <c r="B2" s="80"/>
      <c r="C2" s="81" t="s">
        <v>1547</v>
      </c>
      <c r="D2" s="81" t="s">
        <v>1548</v>
      </c>
      <c r="E2" s="80"/>
      <c r="F2" s="80"/>
    </row>
    <row r="3" spans="1:6" x14ac:dyDescent="0.2">
      <c r="A3" s="79" t="s">
        <v>130</v>
      </c>
      <c r="B3" s="79" t="s">
        <v>131</v>
      </c>
      <c r="C3" s="82">
        <v>0</v>
      </c>
      <c r="D3" s="82">
        <v>0</v>
      </c>
      <c r="E3" s="82">
        <v>0</v>
      </c>
      <c r="F3" s="79" t="s">
        <v>132</v>
      </c>
    </row>
    <row r="4" spans="1:6" x14ac:dyDescent="0.2">
      <c r="A4" s="79" t="s">
        <v>130</v>
      </c>
      <c r="B4" s="83" t="s">
        <v>133</v>
      </c>
      <c r="C4" s="82">
        <v>0</v>
      </c>
      <c r="D4" s="82">
        <v>0</v>
      </c>
      <c r="E4" s="82">
        <v>0</v>
      </c>
      <c r="F4" s="79" t="s">
        <v>132</v>
      </c>
    </row>
    <row r="5" spans="1:6" x14ac:dyDescent="0.2">
      <c r="A5" s="79" t="s">
        <v>134</v>
      </c>
      <c r="B5" s="79" t="s">
        <v>135</v>
      </c>
      <c r="C5" s="82">
        <v>0</v>
      </c>
      <c r="D5" s="82">
        <v>0</v>
      </c>
      <c r="E5" s="82">
        <v>0</v>
      </c>
      <c r="F5" s="79" t="s">
        <v>132</v>
      </c>
    </row>
    <row r="6" spans="1:6" x14ac:dyDescent="0.2">
      <c r="A6" s="79" t="s">
        <v>134</v>
      </c>
      <c r="B6" s="83" t="s">
        <v>136</v>
      </c>
      <c r="C6" s="82">
        <v>0</v>
      </c>
      <c r="D6" s="82">
        <v>0</v>
      </c>
      <c r="E6" s="82">
        <v>0</v>
      </c>
      <c r="F6" s="79" t="s">
        <v>132</v>
      </c>
    </row>
    <row r="7" spans="1:6" x14ac:dyDescent="0.2">
      <c r="A7" s="79" t="s">
        <v>137</v>
      </c>
      <c r="B7" s="79" t="s">
        <v>138</v>
      </c>
      <c r="C7" s="82">
        <v>0</v>
      </c>
      <c r="D7" s="82">
        <v>0</v>
      </c>
      <c r="E7" s="82">
        <v>0</v>
      </c>
      <c r="F7" s="79" t="s">
        <v>132</v>
      </c>
    </row>
    <row r="8" spans="1:6" x14ac:dyDescent="0.2">
      <c r="A8" s="79" t="s">
        <v>137</v>
      </c>
      <c r="B8" s="83" t="s">
        <v>139</v>
      </c>
      <c r="C8" s="82">
        <v>0</v>
      </c>
      <c r="D8" s="82">
        <v>0</v>
      </c>
      <c r="E8" s="82">
        <v>0</v>
      </c>
      <c r="F8" s="79" t="s">
        <v>132</v>
      </c>
    </row>
    <row r="9" spans="1:6" x14ac:dyDescent="0.2">
      <c r="A9" s="79" t="s">
        <v>140</v>
      </c>
      <c r="B9" s="79" t="s">
        <v>141</v>
      </c>
      <c r="C9" s="82">
        <v>0</v>
      </c>
      <c r="D9" s="82">
        <v>0</v>
      </c>
      <c r="E9" s="82">
        <v>0</v>
      </c>
      <c r="F9" s="79" t="s">
        <v>132</v>
      </c>
    </row>
    <row r="10" spans="1:6" x14ac:dyDescent="0.2">
      <c r="A10" s="79" t="s">
        <v>140</v>
      </c>
      <c r="B10" s="79" t="s">
        <v>142</v>
      </c>
      <c r="C10" s="82">
        <v>0</v>
      </c>
      <c r="D10" s="82">
        <v>0</v>
      </c>
      <c r="E10" s="82">
        <v>0</v>
      </c>
      <c r="F10" s="79" t="s">
        <v>132</v>
      </c>
    </row>
    <row r="11" spans="1:6" x14ac:dyDescent="0.2">
      <c r="A11" s="79" t="s">
        <v>140</v>
      </c>
      <c r="B11" s="79" t="s">
        <v>143</v>
      </c>
      <c r="C11" s="82">
        <v>0</v>
      </c>
      <c r="D11" s="82">
        <v>0</v>
      </c>
      <c r="E11" s="82">
        <v>0</v>
      </c>
      <c r="F11" s="79" t="s">
        <v>132</v>
      </c>
    </row>
    <row r="12" spans="1:6" x14ac:dyDescent="0.2">
      <c r="A12" s="79" t="s">
        <v>140</v>
      </c>
      <c r="B12" s="79" t="s">
        <v>144</v>
      </c>
      <c r="C12" s="82">
        <v>0</v>
      </c>
      <c r="D12" s="82">
        <v>0</v>
      </c>
      <c r="E12" s="82">
        <v>0</v>
      </c>
      <c r="F12" s="79" t="s">
        <v>132</v>
      </c>
    </row>
    <row r="13" spans="1:6" x14ac:dyDescent="0.2">
      <c r="A13" s="79" t="s">
        <v>145</v>
      </c>
      <c r="B13" s="79" t="s">
        <v>146</v>
      </c>
      <c r="C13" s="82">
        <v>0</v>
      </c>
      <c r="D13" s="82">
        <v>0</v>
      </c>
      <c r="E13" s="82">
        <v>0</v>
      </c>
      <c r="F13" s="79" t="s">
        <v>132</v>
      </c>
    </row>
    <row r="14" spans="1:6" x14ac:dyDescent="0.2">
      <c r="A14" s="79" t="s">
        <v>145</v>
      </c>
      <c r="B14" s="83" t="s">
        <v>147</v>
      </c>
      <c r="C14" s="82">
        <v>0</v>
      </c>
      <c r="D14" s="82">
        <v>0</v>
      </c>
      <c r="E14" s="82">
        <v>0</v>
      </c>
      <c r="F14" s="79" t="s">
        <v>132</v>
      </c>
    </row>
    <row r="15" spans="1:6" x14ac:dyDescent="0.2">
      <c r="A15" s="79" t="s">
        <v>145</v>
      </c>
      <c r="B15" s="129" t="s">
        <v>148</v>
      </c>
      <c r="C15" s="82">
        <v>23331783.940000001</v>
      </c>
      <c r="D15" s="82">
        <v>24007274.940000001</v>
      </c>
      <c r="E15" s="82">
        <v>-675491</v>
      </c>
      <c r="F15" s="79" t="s">
        <v>149</v>
      </c>
    </row>
    <row r="16" spans="1:6" x14ac:dyDescent="0.2">
      <c r="A16" s="79" t="s">
        <v>145</v>
      </c>
      <c r="B16" s="79" t="s">
        <v>150</v>
      </c>
      <c r="C16" s="82">
        <v>23331783.940000001</v>
      </c>
      <c r="D16" s="82">
        <v>24007274.940000001</v>
      </c>
      <c r="E16" s="82">
        <v>-675491</v>
      </c>
      <c r="F16" s="79" t="s">
        <v>149</v>
      </c>
    </row>
    <row r="17" spans="1:6" x14ac:dyDescent="0.2">
      <c r="A17" s="79" t="s">
        <v>151</v>
      </c>
      <c r="B17" s="79" t="s">
        <v>152</v>
      </c>
      <c r="C17" s="82">
        <v>0</v>
      </c>
      <c r="D17" s="82">
        <v>0</v>
      </c>
      <c r="E17" s="82">
        <v>0</v>
      </c>
      <c r="F17" s="79" t="s">
        <v>132</v>
      </c>
    </row>
    <row r="18" spans="1:6" x14ac:dyDescent="0.2">
      <c r="A18" s="79" t="s">
        <v>151</v>
      </c>
      <c r="B18" s="83" t="s">
        <v>153</v>
      </c>
      <c r="C18" s="82">
        <v>0</v>
      </c>
      <c r="D18" s="82">
        <v>0</v>
      </c>
      <c r="E18" s="82">
        <v>0</v>
      </c>
      <c r="F18" s="79" t="s">
        <v>132</v>
      </c>
    </row>
    <row r="19" spans="1:6" x14ac:dyDescent="0.2">
      <c r="A19" s="79" t="s">
        <v>154</v>
      </c>
      <c r="B19" s="79" t="s">
        <v>155</v>
      </c>
      <c r="C19" s="82">
        <v>61500.77</v>
      </c>
      <c r="D19" s="82">
        <v>90926.55</v>
      </c>
      <c r="E19" s="82">
        <v>-29425.78</v>
      </c>
      <c r="F19" s="79" t="s">
        <v>156</v>
      </c>
    </row>
    <row r="20" spans="1:6" x14ac:dyDescent="0.2">
      <c r="A20" s="79" t="s">
        <v>151</v>
      </c>
      <c r="B20" s="79" t="s">
        <v>132</v>
      </c>
      <c r="C20" s="82">
        <v>61500.77</v>
      </c>
      <c r="D20" s="82">
        <v>90926.55</v>
      </c>
      <c r="E20" s="82">
        <v>-29425.78</v>
      </c>
      <c r="F20" s="79" t="s">
        <v>156</v>
      </c>
    </row>
    <row r="21" spans="1:6" x14ac:dyDescent="0.2">
      <c r="A21" s="79" t="s">
        <v>137</v>
      </c>
      <c r="B21" s="79" t="s">
        <v>157</v>
      </c>
      <c r="C21" s="82">
        <v>23393284.710000001</v>
      </c>
      <c r="D21" s="82">
        <v>24098201.489999998</v>
      </c>
      <c r="E21" s="82">
        <v>-704916.78</v>
      </c>
      <c r="F21" s="79" t="s">
        <v>158</v>
      </c>
    </row>
    <row r="22" spans="1:6" x14ac:dyDescent="0.2">
      <c r="A22" s="79" t="s">
        <v>137</v>
      </c>
      <c r="B22" s="83" t="s">
        <v>159</v>
      </c>
      <c r="C22" s="82">
        <v>0</v>
      </c>
      <c r="D22" s="82">
        <v>0</v>
      </c>
      <c r="E22" s="82">
        <v>0</v>
      </c>
      <c r="F22" s="79" t="s">
        <v>132</v>
      </c>
    </row>
    <row r="23" spans="1:6" x14ac:dyDescent="0.2">
      <c r="A23" s="79" t="s">
        <v>160</v>
      </c>
      <c r="B23" s="79" t="s">
        <v>161</v>
      </c>
      <c r="C23" s="82">
        <v>0</v>
      </c>
      <c r="D23" s="82">
        <v>0</v>
      </c>
      <c r="E23" s="82">
        <v>0</v>
      </c>
      <c r="F23" s="79" t="s">
        <v>132</v>
      </c>
    </row>
    <row r="24" spans="1:6" x14ac:dyDescent="0.2">
      <c r="A24" s="79" t="s">
        <v>160</v>
      </c>
      <c r="B24" s="83" t="s">
        <v>162</v>
      </c>
      <c r="C24" s="82">
        <v>0</v>
      </c>
      <c r="D24" s="82">
        <v>0</v>
      </c>
      <c r="E24" s="82">
        <v>0</v>
      </c>
      <c r="F24" s="79" t="s">
        <v>132</v>
      </c>
    </row>
    <row r="25" spans="1:6" x14ac:dyDescent="0.2">
      <c r="A25" s="79" t="s">
        <v>163</v>
      </c>
      <c r="B25" s="79" t="s">
        <v>164</v>
      </c>
      <c r="C25" s="82">
        <v>0</v>
      </c>
      <c r="D25" s="82">
        <v>0</v>
      </c>
      <c r="E25" s="82">
        <v>0</v>
      </c>
      <c r="F25" s="79" t="s">
        <v>132</v>
      </c>
    </row>
    <row r="26" spans="1:6" x14ac:dyDescent="0.2">
      <c r="A26" s="79" t="s">
        <v>163</v>
      </c>
      <c r="B26" s="79" t="s">
        <v>165</v>
      </c>
      <c r="C26" s="82">
        <v>0</v>
      </c>
      <c r="D26" s="82">
        <v>0</v>
      </c>
      <c r="E26" s="82">
        <v>0</v>
      </c>
      <c r="F26" s="79" t="s">
        <v>132</v>
      </c>
    </row>
    <row r="27" spans="1:6" x14ac:dyDescent="0.2">
      <c r="A27" s="79" t="s">
        <v>163</v>
      </c>
      <c r="B27" s="79" t="s">
        <v>166</v>
      </c>
      <c r="C27" s="82">
        <v>0</v>
      </c>
      <c r="D27" s="82">
        <v>0</v>
      </c>
      <c r="E27" s="82">
        <v>0</v>
      </c>
      <c r="F27" s="79" t="s">
        <v>132</v>
      </c>
    </row>
    <row r="28" spans="1:6" x14ac:dyDescent="0.2">
      <c r="A28" s="79" t="s">
        <v>163</v>
      </c>
      <c r="B28" s="83" t="s">
        <v>167</v>
      </c>
      <c r="C28" s="82">
        <v>0</v>
      </c>
      <c r="D28" s="82">
        <v>0</v>
      </c>
      <c r="E28" s="82">
        <v>0</v>
      </c>
      <c r="F28" s="79" t="s">
        <v>132</v>
      </c>
    </row>
    <row r="29" spans="1:6" x14ac:dyDescent="0.2">
      <c r="A29" s="79" t="s">
        <v>168</v>
      </c>
      <c r="B29" s="79" t="s">
        <v>169</v>
      </c>
      <c r="C29" s="82">
        <v>0</v>
      </c>
      <c r="D29" s="82">
        <v>0</v>
      </c>
      <c r="E29" s="82">
        <v>0</v>
      </c>
      <c r="F29" s="79" t="s">
        <v>132</v>
      </c>
    </row>
    <row r="30" spans="1:6" x14ac:dyDescent="0.2">
      <c r="A30" s="79" t="s">
        <v>168</v>
      </c>
      <c r="B30" s="129" t="s">
        <v>170</v>
      </c>
      <c r="C30" s="82">
        <v>466619269.50999999</v>
      </c>
      <c r="D30" s="82">
        <v>493588796.50999999</v>
      </c>
      <c r="E30" s="82">
        <v>-26969527</v>
      </c>
      <c r="F30" s="79" t="s">
        <v>171</v>
      </c>
    </row>
    <row r="31" spans="1:6" x14ac:dyDescent="0.2">
      <c r="A31" s="79" t="s">
        <v>168</v>
      </c>
      <c r="B31" s="79" t="s">
        <v>132</v>
      </c>
      <c r="C31" s="82">
        <v>466619269.50999999</v>
      </c>
      <c r="D31" s="82">
        <v>493588796.50999999</v>
      </c>
      <c r="E31" s="82">
        <v>-26969527</v>
      </c>
      <c r="F31" s="79" t="s">
        <v>171</v>
      </c>
    </row>
    <row r="32" spans="1:6" x14ac:dyDescent="0.2">
      <c r="A32" s="79" t="s">
        <v>172</v>
      </c>
      <c r="B32" s="79" t="s">
        <v>173</v>
      </c>
      <c r="C32" s="82">
        <v>0</v>
      </c>
      <c r="D32" s="82">
        <v>0</v>
      </c>
      <c r="E32" s="82">
        <v>0</v>
      </c>
      <c r="F32" s="79" t="s">
        <v>132</v>
      </c>
    </row>
    <row r="33" spans="1:6" x14ac:dyDescent="0.2">
      <c r="A33" s="79" t="s">
        <v>172</v>
      </c>
      <c r="B33" s="129" t="s">
        <v>174</v>
      </c>
      <c r="C33" s="82">
        <v>15893829.939999999</v>
      </c>
      <c r="D33" s="82">
        <v>16219074.48</v>
      </c>
      <c r="E33" s="82">
        <v>-325244.53999999998</v>
      </c>
      <c r="F33" s="79" t="s">
        <v>175</v>
      </c>
    </row>
    <row r="34" spans="1:6" x14ac:dyDescent="0.2">
      <c r="A34" s="79" t="s">
        <v>172</v>
      </c>
      <c r="B34" s="79" t="s">
        <v>132</v>
      </c>
      <c r="C34" s="82">
        <v>15893829.939999999</v>
      </c>
      <c r="D34" s="82">
        <v>16219074.48</v>
      </c>
      <c r="E34" s="82">
        <v>-325244.53999999998</v>
      </c>
      <c r="F34" s="79" t="s">
        <v>175</v>
      </c>
    </row>
    <row r="35" spans="1:6" x14ac:dyDescent="0.2">
      <c r="A35" s="79" t="s">
        <v>176</v>
      </c>
      <c r="B35" s="79" t="s">
        <v>177</v>
      </c>
      <c r="C35" s="82">
        <v>0</v>
      </c>
      <c r="D35" s="82">
        <v>0</v>
      </c>
      <c r="E35" s="82">
        <v>0</v>
      </c>
      <c r="F35" s="79" t="s">
        <v>132</v>
      </c>
    </row>
    <row r="36" spans="1:6" x14ac:dyDescent="0.2">
      <c r="A36" s="79" t="s">
        <v>176</v>
      </c>
      <c r="B36" s="129" t="s">
        <v>178</v>
      </c>
      <c r="C36" s="82">
        <v>10069324.970000001</v>
      </c>
      <c r="D36" s="82">
        <v>10069324.970000001</v>
      </c>
      <c r="E36" s="82">
        <v>0</v>
      </c>
      <c r="F36" s="79" t="s">
        <v>179</v>
      </c>
    </row>
    <row r="37" spans="1:6" x14ac:dyDescent="0.2">
      <c r="A37" s="79" t="s">
        <v>176</v>
      </c>
      <c r="B37" s="79" t="s">
        <v>132</v>
      </c>
      <c r="C37" s="82">
        <v>10069324.970000001</v>
      </c>
      <c r="D37" s="82">
        <v>10069324.970000001</v>
      </c>
      <c r="E37" s="82">
        <v>0</v>
      </c>
      <c r="F37" s="79" t="s">
        <v>179</v>
      </c>
    </row>
    <row r="38" spans="1:6" x14ac:dyDescent="0.2">
      <c r="A38" s="79" t="s">
        <v>180</v>
      </c>
      <c r="B38" s="79" t="s">
        <v>181</v>
      </c>
      <c r="C38" s="82">
        <v>0</v>
      </c>
      <c r="D38" s="82">
        <v>0</v>
      </c>
      <c r="E38" s="82">
        <v>0</v>
      </c>
      <c r="F38" s="79" t="s">
        <v>132</v>
      </c>
    </row>
    <row r="39" spans="1:6" x14ac:dyDescent="0.2">
      <c r="A39" s="79" t="s">
        <v>180</v>
      </c>
      <c r="B39" s="79" t="s">
        <v>182</v>
      </c>
      <c r="C39" s="82">
        <v>45422597</v>
      </c>
      <c r="D39" s="82">
        <v>47633457</v>
      </c>
      <c r="E39" s="82">
        <v>-2210860</v>
      </c>
      <c r="F39" s="79" t="s">
        <v>183</v>
      </c>
    </row>
    <row r="40" spans="1:6" x14ac:dyDescent="0.2">
      <c r="A40" s="79" t="s">
        <v>180</v>
      </c>
      <c r="B40" s="79" t="s">
        <v>132</v>
      </c>
      <c r="C40" s="82">
        <v>45422597</v>
      </c>
      <c r="D40" s="82">
        <v>47633457</v>
      </c>
      <c r="E40" s="82">
        <v>-2210860</v>
      </c>
      <c r="F40" s="79" t="s">
        <v>183</v>
      </c>
    </row>
    <row r="41" spans="1:6" x14ac:dyDescent="0.2">
      <c r="A41" s="79" t="s">
        <v>163</v>
      </c>
      <c r="B41" s="79" t="s">
        <v>184</v>
      </c>
      <c r="C41" s="82">
        <v>538005021.41999996</v>
      </c>
      <c r="D41" s="82">
        <v>567510652.96000004</v>
      </c>
      <c r="E41" s="82">
        <v>-29505631.539999999</v>
      </c>
      <c r="F41" s="79" t="s">
        <v>185</v>
      </c>
    </row>
    <row r="42" spans="1:6" x14ac:dyDescent="0.2">
      <c r="A42" s="79" t="s">
        <v>163</v>
      </c>
      <c r="B42" s="79" t="s">
        <v>186</v>
      </c>
      <c r="C42" s="82">
        <v>0</v>
      </c>
      <c r="D42" s="82">
        <v>0</v>
      </c>
      <c r="E42" s="82">
        <v>0</v>
      </c>
      <c r="F42" s="79" t="s">
        <v>132</v>
      </c>
    </row>
    <row r="43" spans="1:6" x14ac:dyDescent="0.2">
      <c r="A43" s="79" t="s">
        <v>163</v>
      </c>
      <c r="B43" s="79" t="s">
        <v>166</v>
      </c>
      <c r="C43" s="82">
        <v>0</v>
      </c>
      <c r="D43" s="82">
        <v>0</v>
      </c>
      <c r="E43" s="82">
        <v>0</v>
      </c>
      <c r="F43" s="79" t="s">
        <v>132</v>
      </c>
    </row>
    <row r="44" spans="1:6" x14ac:dyDescent="0.2">
      <c r="A44" s="79" t="s">
        <v>187</v>
      </c>
      <c r="B44" s="79" t="s">
        <v>188</v>
      </c>
      <c r="C44" s="82">
        <v>0</v>
      </c>
      <c r="D44" s="82">
        <v>0</v>
      </c>
      <c r="E44" s="82">
        <v>0</v>
      </c>
      <c r="F44" s="79" t="s">
        <v>132</v>
      </c>
    </row>
    <row r="45" spans="1:6" x14ac:dyDescent="0.2">
      <c r="A45" s="79" t="s">
        <v>187</v>
      </c>
      <c r="B45" s="83" t="s">
        <v>189</v>
      </c>
      <c r="C45" s="82">
        <v>0</v>
      </c>
      <c r="D45" s="82">
        <v>0</v>
      </c>
      <c r="E45" s="82">
        <v>0</v>
      </c>
      <c r="F45" s="79" t="s">
        <v>132</v>
      </c>
    </row>
    <row r="46" spans="1:6" x14ac:dyDescent="0.2">
      <c r="A46" s="79" t="s">
        <v>190</v>
      </c>
      <c r="B46" s="79" t="s">
        <v>191</v>
      </c>
      <c r="C46" s="82">
        <v>0</v>
      </c>
      <c r="D46" s="82">
        <v>0</v>
      </c>
      <c r="E46" s="82">
        <v>0</v>
      </c>
      <c r="F46" s="79" t="s">
        <v>132</v>
      </c>
    </row>
    <row r="47" spans="1:6" x14ac:dyDescent="0.2">
      <c r="A47" s="79" t="s">
        <v>190</v>
      </c>
      <c r="B47" s="79" t="s">
        <v>192</v>
      </c>
      <c r="C47" s="82">
        <v>162147137</v>
      </c>
      <c r="D47" s="82">
        <v>152926183</v>
      </c>
      <c r="E47" s="82">
        <v>9220954</v>
      </c>
      <c r="F47" s="79" t="s">
        <v>193</v>
      </c>
    </row>
    <row r="48" spans="1:6" x14ac:dyDescent="0.2">
      <c r="A48" s="79" t="s">
        <v>190</v>
      </c>
      <c r="B48" s="79" t="s">
        <v>132</v>
      </c>
      <c r="C48" s="82">
        <v>162147137</v>
      </c>
      <c r="D48" s="82">
        <v>152926183</v>
      </c>
      <c r="E48" s="82">
        <v>9220954</v>
      </c>
      <c r="F48" s="79" t="s">
        <v>193</v>
      </c>
    </row>
    <row r="49" spans="1:6" x14ac:dyDescent="0.2">
      <c r="A49" s="79" t="s">
        <v>194</v>
      </c>
      <c r="B49" s="79" t="s">
        <v>195</v>
      </c>
      <c r="C49" s="82">
        <v>0</v>
      </c>
      <c r="D49" s="82">
        <v>0</v>
      </c>
      <c r="E49" s="82">
        <v>0</v>
      </c>
      <c r="F49" s="79" t="s">
        <v>132</v>
      </c>
    </row>
    <row r="50" spans="1:6" x14ac:dyDescent="0.2">
      <c r="A50" s="79" t="s">
        <v>194</v>
      </c>
      <c r="B50" s="79" t="s">
        <v>196</v>
      </c>
      <c r="C50" s="82">
        <v>129041173.58</v>
      </c>
      <c r="D50" s="82">
        <v>132892699.58</v>
      </c>
      <c r="E50" s="82">
        <v>-3851526</v>
      </c>
      <c r="F50" s="79" t="s">
        <v>158</v>
      </c>
    </row>
    <row r="51" spans="1:6" x14ac:dyDescent="0.2">
      <c r="A51" s="79" t="s">
        <v>194</v>
      </c>
      <c r="B51" s="79" t="s">
        <v>132</v>
      </c>
      <c r="C51" s="82">
        <v>129041173.58</v>
      </c>
      <c r="D51" s="82">
        <v>132892699.58</v>
      </c>
      <c r="E51" s="82">
        <v>-3851526</v>
      </c>
      <c r="F51" s="79" t="s">
        <v>158</v>
      </c>
    </row>
    <row r="52" spans="1:6" x14ac:dyDescent="0.2">
      <c r="A52" s="79" t="s">
        <v>187</v>
      </c>
      <c r="B52" s="79" t="s">
        <v>197</v>
      </c>
      <c r="C52" s="82">
        <v>291188310.57999998</v>
      </c>
      <c r="D52" s="82">
        <v>285818882.57999998</v>
      </c>
      <c r="E52" s="82">
        <v>5369428</v>
      </c>
      <c r="F52" s="79" t="s">
        <v>198</v>
      </c>
    </row>
    <row r="53" spans="1:6" x14ac:dyDescent="0.2">
      <c r="A53" s="79" t="s">
        <v>199</v>
      </c>
      <c r="B53" s="79" t="s">
        <v>200</v>
      </c>
      <c r="C53" s="82">
        <v>0</v>
      </c>
      <c r="D53" s="82">
        <v>0</v>
      </c>
      <c r="E53" s="82">
        <v>0</v>
      </c>
      <c r="F53" s="79" t="s">
        <v>132</v>
      </c>
    </row>
    <row r="54" spans="1:6" x14ac:dyDescent="0.2">
      <c r="A54" s="79" t="s">
        <v>199</v>
      </c>
      <c r="B54" s="79" t="s">
        <v>201</v>
      </c>
      <c r="C54" s="82">
        <v>0</v>
      </c>
      <c r="D54" s="82">
        <v>0</v>
      </c>
      <c r="E54" s="82">
        <v>0</v>
      </c>
      <c r="F54" s="79" t="s">
        <v>132</v>
      </c>
    </row>
    <row r="55" spans="1:6" x14ac:dyDescent="0.2">
      <c r="A55" s="79" t="s">
        <v>199</v>
      </c>
      <c r="B55" s="83" t="s">
        <v>202</v>
      </c>
      <c r="C55" s="82">
        <v>0</v>
      </c>
      <c r="D55" s="82">
        <v>0</v>
      </c>
      <c r="E55" s="82">
        <v>0</v>
      </c>
      <c r="F55" s="79" t="s">
        <v>132</v>
      </c>
    </row>
    <row r="56" spans="1:6" x14ac:dyDescent="0.2">
      <c r="A56" s="79" t="s">
        <v>203</v>
      </c>
      <c r="B56" s="79" t="s">
        <v>204</v>
      </c>
      <c r="C56" s="82">
        <v>29725982</v>
      </c>
      <c r="D56" s="82">
        <v>29227160</v>
      </c>
      <c r="E56" s="82">
        <v>498822</v>
      </c>
      <c r="F56" s="79" t="s">
        <v>205</v>
      </c>
    </row>
    <row r="57" spans="1:6" x14ac:dyDescent="0.2">
      <c r="A57" s="79" t="s">
        <v>203</v>
      </c>
      <c r="B57" s="79" t="s">
        <v>206</v>
      </c>
      <c r="C57" s="82">
        <v>29725982</v>
      </c>
      <c r="D57" s="82">
        <v>29227160</v>
      </c>
      <c r="E57" s="82">
        <v>498822</v>
      </c>
      <c r="F57" s="79" t="s">
        <v>205</v>
      </c>
    </row>
    <row r="58" spans="1:6" x14ac:dyDescent="0.2">
      <c r="A58" s="79" t="s">
        <v>203</v>
      </c>
      <c r="B58" s="79" t="s">
        <v>207</v>
      </c>
      <c r="C58" s="82">
        <v>0</v>
      </c>
      <c r="D58" s="82">
        <v>0</v>
      </c>
      <c r="E58" s="82">
        <v>0</v>
      </c>
      <c r="F58" s="79" t="s">
        <v>132</v>
      </c>
    </row>
    <row r="59" spans="1:6" x14ac:dyDescent="0.2">
      <c r="A59" s="79" t="s">
        <v>199</v>
      </c>
      <c r="B59" s="79" t="s">
        <v>132</v>
      </c>
      <c r="C59" s="82">
        <v>29725982</v>
      </c>
      <c r="D59" s="82">
        <v>29227160</v>
      </c>
      <c r="E59" s="82">
        <v>498822</v>
      </c>
      <c r="F59" s="79" t="s">
        <v>205</v>
      </c>
    </row>
    <row r="60" spans="1:6" x14ac:dyDescent="0.2">
      <c r="A60" s="79" t="s">
        <v>208</v>
      </c>
      <c r="B60" s="79" t="s">
        <v>209</v>
      </c>
      <c r="C60" s="82">
        <v>0</v>
      </c>
      <c r="D60" s="82">
        <v>0</v>
      </c>
      <c r="E60" s="82">
        <v>0</v>
      </c>
      <c r="F60" s="79" t="s">
        <v>132</v>
      </c>
    </row>
    <row r="61" spans="1:6" x14ac:dyDescent="0.2">
      <c r="A61" s="79" t="s">
        <v>208</v>
      </c>
      <c r="B61" s="83" t="s">
        <v>210</v>
      </c>
      <c r="C61" s="82">
        <v>0</v>
      </c>
      <c r="D61" s="82">
        <v>0</v>
      </c>
      <c r="E61" s="82">
        <v>0</v>
      </c>
      <c r="F61" s="79" t="s">
        <v>132</v>
      </c>
    </row>
    <row r="62" spans="1:6" x14ac:dyDescent="0.2">
      <c r="A62" s="79" t="s">
        <v>211</v>
      </c>
      <c r="B62" s="79" t="s">
        <v>212</v>
      </c>
      <c r="C62" s="82">
        <v>106692651.45999999</v>
      </c>
      <c r="D62" s="82">
        <v>71983416.280000001</v>
      </c>
      <c r="E62" s="82">
        <v>34709235.18</v>
      </c>
      <c r="F62" s="79" t="s">
        <v>213</v>
      </c>
    </row>
    <row r="63" spans="1:6" x14ac:dyDescent="0.2">
      <c r="A63" s="79" t="s">
        <v>211</v>
      </c>
      <c r="B63" s="79" t="s">
        <v>214</v>
      </c>
      <c r="C63" s="82">
        <v>106692651.45999999</v>
      </c>
      <c r="D63" s="82">
        <v>71983416.280000001</v>
      </c>
      <c r="E63" s="82">
        <v>34709235.18</v>
      </c>
      <c r="F63" s="79" t="s">
        <v>213</v>
      </c>
    </row>
    <row r="64" spans="1:6" x14ac:dyDescent="0.2">
      <c r="A64" s="79" t="s">
        <v>211</v>
      </c>
      <c r="B64" s="79" t="s">
        <v>215</v>
      </c>
      <c r="C64" s="82">
        <v>0</v>
      </c>
      <c r="D64" s="82">
        <v>0</v>
      </c>
      <c r="E64" s="82">
        <v>0</v>
      </c>
      <c r="F64" s="79" t="s">
        <v>132</v>
      </c>
    </row>
    <row r="65" spans="1:6" x14ac:dyDescent="0.2">
      <c r="A65" s="79" t="s">
        <v>208</v>
      </c>
      <c r="B65" s="79" t="s">
        <v>132</v>
      </c>
      <c r="C65" s="82">
        <v>106692651.45999999</v>
      </c>
      <c r="D65" s="82">
        <v>71983416.280000001</v>
      </c>
      <c r="E65" s="82">
        <v>34709235.18</v>
      </c>
      <c r="F65" s="79" t="s">
        <v>213</v>
      </c>
    </row>
    <row r="66" spans="1:6" x14ac:dyDescent="0.2">
      <c r="A66" s="79" t="s">
        <v>160</v>
      </c>
      <c r="B66" s="79" t="s">
        <v>216</v>
      </c>
      <c r="C66" s="82">
        <v>965611965.46000004</v>
      </c>
      <c r="D66" s="82">
        <v>954540111.82000005</v>
      </c>
      <c r="E66" s="82">
        <v>11071853.640000001</v>
      </c>
      <c r="F66" s="79" t="s">
        <v>217</v>
      </c>
    </row>
    <row r="67" spans="1:6" x14ac:dyDescent="0.2">
      <c r="A67" s="79" t="s">
        <v>160</v>
      </c>
      <c r="B67" s="83" t="s">
        <v>136</v>
      </c>
      <c r="C67" s="82">
        <v>0</v>
      </c>
      <c r="D67" s="82">
        <v>0</v>
      </c>
      <c r="E67" s="82">
        <v>0</v>
      </c>
      <c r="F67" s="79" t="s">
        <v>132</v>
      </c>
    </row>
    <row r="68" spans="1:6" x14ac:dyDescent="0.2">
      <c r="A68" s="79" t="s">
        <v>218</v>
      </c>
      <c r="B68" s="79" t="s">
        <v>32</v>
      </c>
      <c r="C68" s="82">
        <v>0</v>
      </c>
      <c r="D68" s="82">
        <v>0</v>
      </c>
      <c r="E68" s="82">
        <v>0</v>
      </c>
      <c r="F68" s="79" t="s">
        <v>132</v>
      </c>
    </row>
    <row r="69" spans="1:6" x14ac:dyDescent="0.2">
      <c r="A69" s="79" t="s">
        <v>218</v>
      </c>
      <c r="B69" s="83" t="s">
        <v>162</v>
      </c>
      <c r="C69" s="82">
        <v>0</v>
      </c>
      <c r="D69" s="82">
        <v>0</v>
      </c>
      <c r="E69" s="82">
        <v>0</v>
      </c>
      <c r="F69" s="79" t="s">
        <v>132</v>
      </c>
    </row>
    <row r="70" spans="1:6" x14ac:dyDescent="0.2">
      <c r="A70" s="79" t="s">
        <v>219</v>
      </c>
      <c r="B70" s="79" t="s">
        <v>91</v>
      </c>
      <c r="C70" s="82">
        <v>0</v>
      </c>
      <c r="D70" s="82">
        <v>0</v>
      </c>
      <c r="E70" s="82">
        <v>0</v>
      </c>
      <c r="F70" s="79" t="s">
        <v>132</v>
      </c>
    </row>
    <row r="71" spans="1:6" x14ac:dyDescent="0.2">
      <c r="A71" s="79" t="s">
        <v>219</v>
      </c>
      <c r="B71" s="83" t="s">
        <v>220</v>
      </c>
      <c r="C71" s="82">
        <v>0</v>
      </c>
      <c r="D71" s="82">
        <v>0</v>
      </c>
      <c r="E71" s="82">
        <v>0</v>
      </c>
      <c r="F71" s="79" t="s">
        <v>132</v>
      </c>
    </row>
    <row r="72" spans="1:6" x14ac:dyDescent="0.2">
      <c r="A72" s="79" t="s">
        <v>219</v>
      </c>
      <c r="B72" s="79" t="s">
        <v>221</v>
      </c>
      <c r="C72" s="82">
        <v>9453546</v>
      </c>
      <c r="D72" s="82">
        <v>9453546</v>
      </c>
      <c r="E72" s="82">
        <v>0</v>
      </c>
      <c r="F72" s="79" t="s">
        <v>179</v>
      </c>
    </row>
    <row r="73" spans="1:6" x14ac:dyDescent="0.2">
      <c r="A73" s="79" t="s">
        <v>219</v>
      </c>
      <c r="B73" s="79" t="s">
        <v>222</v>
      </c>
      <c r="C73" s="82">
        <v>1</v>
      </c>
      <c r="D73" s="82">
        <v>1</v>
      </c>
      <c r="E73" s="82">
        <v>0</v>
      </c>
      <c r="F73" s="79" t="s">
        <v>179</v>
      </c>
    </row>
    <row r="74" spans="1:6" x14ac:dyDescent="0.2">
      <c r="A74" s="79" t="s">
        <v>219</v>
      </c>
      <c r="B74" s="79" t="s">
        <v>223</v>
      </c>
      <c r="C74" s="82">
        <v>30000</v>
      </c>
      <c r="D74" s="82">
        <v>30000</v>
      </c>
      <c r="E74" s="82">
        <v>0</v>
      </c>
      <c r="F74" s="79" t="s">
        <v>179</v>
      </c>
    </row>
    <row r="75" spans="1:6" x14ac:dyDescent="0.2">
      <c r="A75" s="79" t="s">
        <v>219</v>
      </c>
      <c r="B75" s="79" t="s">
        <v>224</v>
      </c>
      <c r="C75" s="82">
        <v>25000</v>
      </c>
      <c r="D75" s="82">
        <v>25000</v>
      </c>
      <c r="E75" s="82">
        <v>0</v>
      </c>
      <c r="F75" s="79" t="s">
        <v>179</v>
      </c>
    </row>
    <row r="76" spans="1:6" x14ac:dyDescent="0.2">
      <c r="A76" s="79" t="s">
        <v>219</v>
      </c>
      <c r="B76" s="79" t="s">
        <v>225</v>
      </c>
      <c r="C76" s="82">
        <v>9508547</v>
      </c>
      <c r="D76" s="82">
        <v>9508547</v>
      </c>
      <c r="E76" s="82">
        <v>0</v>
      </c>
      <c r="F76" s="79" t="s">
        <v>179</v>
      </c>
    </row>
    <row r="77" spans="1:6" x14ac:dyDescent="0.2">
      <c r="A77" s="79" t="s">
        <v>226</v>
      </c>
      <c r="B77" s="79" t="s">
        <v>35</v>
      </c>
      <c r="C77" s="82">
        <v>0</v>
      </c>
      <c r="D77" s="82">
        <v>0</v>
      </c>
      <c r="E77" s="82">
        <v>0</v>
      </c>
      <c r="F77" s="79" t="s">
        <v>132</v>
      </c>
    </row>
    <row r="78" spans="1:6" x14ac:dyDescent="0.2">
      <c r="A78" s="79" t="s">
        <v>227</v>
      </c>
      <c r="B78" s="79" t="s">
        <v>228</v>
      </c>
      <c r="C78" s="82">
        <v>147784.75</v>
      </c>
      <c r="D78" s="82">
        <v>147784.75</v>
      </c>
      <c r="E78" s="82">
        <v>0</v>
      </c>
      <c r="F78" s="79" t="s">
        <v>179</v>
      </c>
    </row>
    <row r="79" spans="1:6" x14ac:dyDescent="0.2">
      <c r="A79" s="79" t="s">
        <v>227</v>
      </c>
      <c r="B79" s="79" t="s">
        <v>229</v>
      </c>
      <c r="C79" s="82">
        <v>1</v>
      </c>
      <c r="D79" s="82">
        <v>1</v>
      </c>
      <c r="E79" s="82">
        <v>0</v>
      </c>
      <c r="F79" s="79" t="s">
        <v>179</v>
      </c>
    </row>
    <row r="80" spans="1:6" x14ac:dyDescent="0.2">
      <c r="A80" s="79" t="s">
        <v>227</v>
      </c>
      <c r="B80" s="79" t="s">
        <v>230</v>
      </c>
      <c r="C80" s="82">
        <v>2221951.9700000002</v>
      </c>
      <c r="D80" s="82">
        <v>2221951.9700000002</v>
      </c>
      <c r="E80" s="82">
        <v>0</v>
      </c>
      <c r="F80" s="79" t="s">
        <v>179</v>
      </c>
    </row>
    <row r="81" spans="1:6" x14ac:dyDescent="0.2">
      <c r="A81" s="79" t="s">
        <v>227</v>
      </c>
      <c r="B81" s="79" t="s">
        <v>132</v>
      </c>
      <c r="C81" s="82">
        <v>2369737.7200000002</v>
      </c>
      <c r="D81" s="82">
        <v>2369737.7200000002</v>
      </c>
      <c r="E81" s="82">
        <v>0</v>
      </c>
      <c r="F81" s="79" t="s">
        <v>179</v>
      </c>
    </row>
    <row r="82" spans="1:6" x14ac:dyDescent="0.2">
      <c r="A82" s="79" t="s">
        <v>226</v>
      </c>
      <c r="B82" s="79" t="s">
        <v>231</v>
      </c>
      <c r="C82" s="82">
        <v>2369737.7200000002</v>
      </c>
      <c r="D82" s="82">
        <v>2369737.7200000002</v>
      </c>
      <c r="E82" s="82">
        <v>0</v>
      </c>
      <c r="F82" s="79" t="s">
        <v>179</v>
      </c>
    </row>
    <row r="83" spans="1:6" x14ac:dyDescent="0.2">
      <c r="A83" s="79" t="s">
        <v>226</v>
      </c>
      <c r="B83" s="83" t="s">
        <v>232</v>
      </c>
      <c r="C83" s="82">
        <v>0</v>
      </c>
      <c r="D83" s="82">
        <v>0</v>
      </c>
      <c r="E83" s="82">
        <v>0</v>
      </c>
      <c r="F83" s="79" t="s">
        <v>132</v>
      </c>
    </row>
    <row r="84" spans="1:6" x14ac:dyDescent="0.2">
      <c r="A84" s="79" t="s">
        <v>233</v>
      </c>
      <c r="B84" s="79" t="s">
        <v>234</v>
      </c>
      <c r="C84" s="82">
        <v>0</v>
      </c>
      <c r="D84" s="82">
        <v>0</v>
      </c>
      <c r="E84" s="82">
        <v>0</v>
      </c>
      <c r="F84" s="79" t="s">
        <v>132</v>
      </c>
    </row>
    <row r="85" spans="1:6" x14ac:dyDescent="0.2">
      <c r="A85" s="79" t="s">
        <v>233</v>
      </c>
      <c r="B85" s="79" t="s">
        <v>235</v>
      </c>
      <c r="C85" s="82">
        <v>0</v>
      </c>
      <c r="D85" s="82">
        <v>0</v>
      </c>
      <c r="E85" s="82">
        <v>0</v>
      </c>
      <c r="F85" s="79" t="s">
        <v>132</v>
      </c>
    </row>
    <row r="86" spans="1:6" x14ac:dyDescent="0.2">
      <c r="A86" s="79" t="s">
        <v>233</v>
      </c>
      <c r="B86" s="83" t="s">
        <v>210</v>
      </c>
      <c r="C86" s="82">
        <v>0</v>
      </c>
      <c r="D86" s="82">
        <v>0</v>
      </c>
      <c r="E86" s="82">
        <v>0</v>
      </c>
      <c r="F86" s="79" t="s">
        <v>132</v>
      </c>
    </row>
    <row r="87" spans="1:6" x14ac:dyDescent="0.2">
      <c r="A87" s="79" t="s">
        <v>236</v>
      </c>
      <c r="B87" s="79" t="s">
        <v>237</v>
      </c>
      <c r="C87" s="82">
        <v>0</v>
      </c>
      <c r="D87" s="82">
        <v>0</v>
      </c>
      <c r="E87" s="82">
        <v>0</v>
      </c>
      <c r="F87" s="79" t="s">
        <v>132</v>
      </c>
    </row>
    <row r="88" spans="1:6" x14ac:dyDescent="0.2">
      <c r="A88" s="79" t="s">
        <v>236</v>
      </c>
      <c r="B88" s="83" t="s">
        <v>238</v>
      </c>
      <c r="C88" s="82">
        <v>0</v>
      </c>
      <c r="D88" s="82">
        <v>0</v>
      </c>
      <c r="E88" s="82">
        <v>0</v>
      </c>
      <c r="F88" s="79" t="s">
        <v>132</v>
      </c>
    </row>
    <row r="89" spans="1:6" x14ac:dyDescent="0.2">
      <c r="A89" s="79" t="s">
        <v>236</v>
      </c>
      <c r="B89" s="79" t="s">
        <v>239</v>
      </c>
      <c r="C89" s="82">
        <v>251000</v>
      </c>
      <c r="D89" s="82">
        <v>878500</v>
      </c>
      <c r="E89" s="82">
        <v>-627500</v>
      </c>
      <c r="F89" s="79" t="s">
        <v>240</v>
      </c>
    </row>
    <row r="90" spans="1:6" x14ac:dyDescent="0.2">
      <c r="A90" s="79" t="s">
        <v>236</v>
      </c>
      <c r="B90" s="79" t="s">
        <v>132</v>
      </c>
      <c r="C90" s="82">
        <v>251000</v>
      </c>
      <c r="D90" s="82">
        <v>878500</v>
      </c>
      <c r="E90" s="82">
        <v>-627500</v>
      </c>
      <c r="F90" s="79" t="s">
        <v>240</v>
      </c>
    </row>
    <row r="91" spans="1:6" x14ac:dyDescent="0.2">
      <c r="A91" s="79" t="s">
        <v>233</v>
      </c>
      <c r="B91" s="79" t="s">
        <v>241</v>
      </c>
      <c r="C91" s="82">
        <v>251000</v>
      </c>
      <c r="D91" s="82">
        <v>878500</v>
      </c>
      <c r="E91" s="82">
        <v>-627500</v>
      </c>
      <c r="F91" s="79" t="s">
        <v>240</v>
      </c>
    </row>
    <row r="92" spans="1:6" x14ac:dyDescent="0.2">
      <c r="A92" s="79" t="s">
        <v>233</v>
      </c>
      <c r="B92" s="79" t="s">
        <v>242</v>
      </c>
      <c r="C92" s="82">
        <v>0</v>
      </c>
      <c r="D92" s="82">
        <v>0</v>
      </c>
      <c r="E92" s="82">
        <v>0</v>
      </c>
      <c r="F92" s="79" t="s">
        <v>132</v>
      </c>
    </row>
    <row r="93" spans="1:6" x14ac:dyDescent="0.2">
      <c r="A93" s="79" t="s">
        <v>243</v>
      </c>
      <c r="B93" s="79" t="s">
        <v>36</v>
      </c>
      <c r="C93" s="82">
        <v>0</v>
      </c>
      <c r="D93" s="82">
        <v>0</v>
      </c>
      <c r="E93" s="82">
        <v>0</v>
      </c>
      <c r="F93" s="79" t="s">
        <v>132</v>
      </c>
    </row>
    <row r="94" spans="1:6" x14ac:dyDescent="0.2">
      <c r="A94" s="79" t="s">
        <v>243</v>
      </c>
      <c r="B94" s="83" t="s">
        <v>244</v>
      </c>
      <c r="C94" s="82">
        <v>0</v>
      </c>
      <c r="D94" s="82">
        <v>0</v>
      </c>
      <c r="E94" s="82">
        <v>0</v>
      </c>
      <c r="F94" s="79" t="s">
        <v>132</v>
      </c>
    </row>
    <row r="95" spans="1:6" x14ac:dyDescent="0.2">
      <c r="A95" s="79" t="s">
        <v>245</v>
      </c>
      <c r="B95" s="79" t="s">
        <v>246</v>
      </c>
      <c r="C95" s="82">
        <v>2191.2399999999998</v>
      </c>
      <c r="D95" s="82">
        <v>3960.83</v>
      </c>
      <c r="E95" s="82">
        <v>-1769.59</v>
      </c>
      <c r="F95" s="79" t="s">
        <v>247</v>
      </c>
    </row>
    <row r="96" spans="1:6" x14ac:dyDescent="0.2">
      <c r="A96" s="79" t="s">
        <v>245</v>
      </c>
      <c r="B96" s="79" t="s">
        <v>132</v>
      </c>
      <c r="C96" s="82">
        <v>2191.2399999999998</v>
      </c>
      <c r="D96" s="82">
        <v>3960.83</v>
      </c>
      <c r="E96" s="82">
        <v>-1769.59</v>
      </c>
      <c r="F96" s="79" t="s">
        <v>247</v>
      </c>
    </row>
    <row r="97" spans="1:6" x14ac:dyDescent="0.2">
      <c r="A97" s="79" t="s">
        <v>243</v>
      </c>
      <c r="B97" s="79" t="s">
        <v>248</v>
      </c>
      <c r="C97" s="82">
        <v>2191.2399999999998</v>
      </c>
      <c r="D97" s="82">
        <v>3960.83</v>
      </c>
      <c r="E97" s="82">
        <v>-1769.59</v>
      </c>
      <c r="F97" s="79" t="s">
        <v>247</v>
      </c>
    </row>
    <row r="98" spans="1:6" x14ac:dyDescent="0.2">
      <c r="A98" s="79" t="s">
        <v>218</v>
      </c>
      <c r="B98" s="79" t="s">
        <v>249</v>
      </c>
      <c r="C98" s="82">
        <v>12131475.960000001</v>
      </c>
      <c r="D98" s="82">
        <v>12760745.550000001</v>
      </c>
      <c r="E98" s="82">
        <v>-629269.59</v>
      </c>
      <c r="F98" s="79" t="s">
        <v>250</v>
      </c>
    </row>
    <row r="99" spans="1:6" x14ac:dyDescent="0.2">
      <c r="A99" s="79" t="s">
        <v>218</v>
      </c>
      <c r="B99" s="83" t="s">
        <v>244</v>
      </c>
      <c r="C99" s="82">
        <v>0</v>
      </c>
      <c r="D99" s="82">
        <v>0</v>
      </c>
      <c r="E99" s="82">
        <v>0</v>
      </c>
      <c r="F99" s="79" t="s">
        <v>132</v>
      </c>
    </row>
    <row r="100" spans="1:6" x14ac:dyDescent="0.2">
      <c r="A100" s="79" t="s">
        <v>134</v>
      </c>
      <c r="B100" s="79" t="s">
        <v>251</v>
      </c>
      <c r="C100" s="82">
        <v>1001136726.13</v>
      </c>
      <c r="D100" s="82">
        <v>991399058.86000001</v>
      </c>
      <c r="E100" s="82">
        <v>9737667.2699999996</v>
      </c>
      <c r="F100" s="79" t="s">
        <v>252</v>
      </c>
    </row>
    <row r="101" spans="1:6" x14ac:dyDescent="0.2">
      <c r="A101" s="79" t="s">
        <v>134</v>
      </c>
      <c r="B101" s="83" t="s">
        <v>253</v>
      </c>
      <c r="C101" s="82">
        <v>0</v>
      </c>
      <c r="D101" s="82">
        <v>0</v>
      </c>
      <c r="E101" s="82">
        <v>0</v>
      </c>
      <c r="F101" s="79" t="s">
        <v>132</v>
      </c>
    </row>
    <row r="102" spans="1:6" x14ac:dyDescent="0.2">
      <c r="A102" s="79" t="s">
        <v>254</v>
      </c>
      <c r="B102" s="79" t="s">
        <v>255</v>
      </c>
      <c r="C102" s="82">
        <v>0</v>
      </c>
      <c r="D102" s="82">
        <v>0</v>
      </c>
      <c r="E102" s="82">
        <v>0</v>
      </c>
      <c r="F102" s="79" t="s">
        <v>132</v>
      </c>
    </row>
    <row r="103" spans="1:6" x14ac:dyDescent="0.2">
      <c r="A103" s="79" t="s">
        <v>254</v>
      </c>
      <c r="B103" s="83" t="s">
        <v>256</v>
      </c>
      <c r="C103" s="82">
        <v>0</v>
      </c>
      <c r="D103" s="82">
        <v>0</v>
      </c>
      <c r="E103" s="82">
        <v>0</v>
      </c>
      <c r="F103" s="79" t="s">
        <v>132</v>
      </c>
    </row>
    <row r="104" spans="1:6" x14ac:dyDescent="0.2">
      <c r="A104" s="79" t="s">
        <v>257</v>
      </c>
      <c r="B104" s="79" t="s">
        <v>43</v>
      </c>
      <c r="C104" s="82">
        <v>0</v>
      </c>
      <c r="D104" s="82">
        <v>0</v>
      </c>
      <c r="E104" s="82">
        <v>0</v>
      </c>
      <c r="F104" s="79" t="s">
        <v>132</v>
      </c>
    </row>
    <row r="105" spans="1:6" x14ac:dyDescent="0.2">
      <c r="A105" s="79" t="s">
        <v>257</v>
      </c>
      <c r="B105" s="83" t="s">
        <v>258</v>
      </c>
      <c r="C105" s="82">
        <v>0</v>
      </c>
      <c r="D105" s="82">
        <v>0</v>
      </c>
      <c r="E105" s="82">
        <v>0</v>
      </c>
      <c r="F105" s="79" t="s">
        <v>132</v>
      </c>
    </row>
    <row r="106" spans="1:6" x14ac:dyDescent="0.2">
      <c r="A106" s="79" t="s">
        <v>259</v>
      </c>
      <c r="B106" s="79" t="s">
        <v>44</v>
      </c>
      <c r="C106" s="82">
        <v>0</v>
      </c>
      <c r="D106" s="82">
        <v>0</v>
      </c>
      <c r="E106" s="82">
        <v>0</v>
      </c>
      <c r="F106" s="79" t="s">
        <v>132</v>
      </c>
    </row>
    <row r="107" spans="1:6" x14ac:dyDescent="0.2">
      <c r="A107" s="79" t="s">
        <v>259</v>
      </c>
      <c r="B107" s="83" t="s">
        <v>260</v>
      </c>
      <c r="C107" s="82">
        <v>0</v>
      </c>
      <c r="D107" s="82">
        <v>0</v>
      </c>
      <c r="E107" s="82">
        <v>0</v>
      </c>
      <c r="F107" s="79" t="s">
        <v>132</v>
      </c>
    </row>
    <row r="108" spans="1:6" x14ac:dyDescent="0.2">
      <c r="A108" s="79" t="s">
        <v>259</v>
      </c>
      <c r="B108" s="79" t="s">
        <v>261</v>
      </c>
      <c r="C108" s="82">
        <v>-802452</v>
      </c>
      <c r="D108" s="82">
        <v>-802452</v>
      </c>
      <c r="E108" s="82">
        <v>0</v>
      </c>
      <c r="F108" s="79" t="s">
        <v>179</v>
      </c>
    </row>
    <row r="109" spans="1:6" x14ac:dyDescent="0.2">
      <c r="A109" s="79" t="s">
        <v>259</v>
      </c>
      <c r="B109" s="79" t="s">
        <v>262</v>
      </c>
      <c r="C109" s="82">
        <v>1056207.1000000001</v>
      </c>
      <c r="D109" s="82">
        <v>958401.27</v>
      </c>
      <c r="E109" s="82">
        <v>97805.83</v>
      </c>
      <c r="F109" s="79" t="s">
        <v>263</v>
      </c>
    </row>
    <row r="110" spans="1:6" x14ac:dyDescent="0.2">
      <c r="A110" s="79" t="s">
        <v>259</v>
      </c>
      <c r="B110" s="79" t="s">
        <v>264</v>
      </c>
      <c r="C110" s="82">
        <v>112537.06</v>
      </c>
      <c r="D110" s="82">
        <v>133768.04</v>
      </c>
      <c r="E110" s="82">
        <v>-21230.98</v>
      </c>
      <c r="F110" s="79" t="s">
        <v>265</v>
      </c>
    </row>
    <row r="111" spans="1:6" x14ac:dyDescent="0.2">
      <c r="A111" s="79" t="s">
        <v>259</v>
      </c>
      <c r="B111" s="79" t="s">
        <v>266</v>
      </c>
      <c r="C111" s="82">
        <v>72835.399999999994</v>
      </c>
      <c r="D111" s="82">
        <v>76574.87</v>
      </c>
      <c r="E111" s="82">
        <v>-3739.47</v>
      </c>
      <c r="F111" s="79" t="s">
        <v>250</v>
      </c>
    </row>
    <row r="112" spans="1:6" x14ac:dyDescent="0.2">
      <c r="A112" s="79" t="s">
        <v>259</v>
      </c>
      <c r="B112" s="79" t="s">
        <v>267</v>
      </c>
      <c r="C112" s="82">
        <v>44762.75</v>
      </c>
      <c r="D112" s="82">
        <v>45690.05</v>
      </c>
      <c r="E112" s="82">
        <v>-927.3</v>
      </c>
      <c r="F112" s="79" t="s">
        <v>175</v>
      </c>
    </row>
    <row r="113" spans="1:6" x14ac:dyDescent="0.2">
      <c r="A113" s="79" t="s">
        <v>259</v>
      </c>
      <c r="B113" s="79" t="s">
        <v>268</v>
      </c>
      <c r="C113" s="82">
        <v>2306611.6800000002</v>
      </c>
      <c r="D113" s="82">
        <v>2269428.4900000002</v>
      </c>
      <c r="E113" s="82">
        <v>37183.19</v>
      </c>
      <c r="F113" s="79" t="s">
        <v>269</v>
      </c>
    </row>
    <row r="114" spans="1:6" x14ac:dyDescent="0.2">
      <c r="A114" s="79" t="s">
        <v>259</v>
      </c>
      <c r="B114" s="79" t="s">
        <v>270</v>
      </c>
      <c r="C114" s="82">
        <v>76750.63</v>
      </c>
      <c r="D114" s="82">
        <v>11393.03</v>
      </c>
      <c r="E114" s="82">
        <v>65357.599999999999</v>
      </c>
      <c r="F114" s="79" t="s">
        <v>271</v>
      </c>
    </row>
    <row r="115" spans="1:6" x14ac:dyDescent="0.2">
      <c r="A115" s="79" t="s">
        <v>259</v>
      </c>
      <c r="B115" s="79" t="s">
        <v>272</v>
      </c>
      <c r="C115" s="82">
        <v>167076.54</v>
      </c>
      <c r="D115" s="82">
        <v>182371.43</v>
      </c>
      <c r="E115" s="82">
        <v>-15294.89</v>
      </c>
      <c r="F115" s="79" t="s">
        <v>273</v>
      </c>
    </row>
    <row r="116" spans="1:6" x14ac:dyDescent="0.2">
      <c r="A116" s="79" t="s">
        <v>259</v>
      </c>
      <c r="B116" s="79" t="s">
        <v>274</v>
      </c>
      <c r="C116" s="82">
        <v>576542.03</v>
      </c>
      <c r="D116" s="82">
        <v>579431.86</v>
      </c>
      <c r="E116" s="82">
        <v>-2889.83</v>
      </c>
      <c r="F116" s="79" t="s">
        <v>275</v>
      </c>
    </row>
    <row r="117" spans="1:6" x14ac:dyDescent="0.2">
      <c r="A117" s="79" t="s">
        <v>259</v>
      </c>
      <c r="B117" s="79" t="s">
        <v>276</v>
      </c>
      <c r="C117" s="82">
        <v>1763.62</v>
      </c>
      <c r="D117" s="82">
        <v>1687.44</v>
      </c>
      <c r="E117" s="82">
        <v>76.180000000000007</v>
      </c>
      <c r="F117" s="79" t="s">
        <v>277</v>
      </c>
    </row>
    <row r="118" spans="1:6" x14ac:dyDescent="0.2">
      <c r="A118" s="79" t="s">
        <v>259</v>
      </c>
      <c r="B118" s="79" t="s">
        <v>278</v>
      </c>
      <c r="C118" s="82">
        <v>199569.67</v>
      </c>
      <c r="D118" s="82">
        <v>201186.75</v>
      </c>
      <c r="E118" s="82">
        <v>-1617.08</v>
      </c>
      <c r="F118" s="79" t="s">
        <v>279</v>
      </c>
    </row>
    <row r="119" spans="1:6" x14ac:dyDescent="0.2">
      <c r="A119" s="79" t="s">
        <v>259</v>
      </c>
      <c r="B119" s="79" t="s">
        <v>280</v>
      </c>
      <c r="C119" s="82">
        <v>39035.980000000003</v>
      </c>
      <c r="D119" s="82">
        <v>42181.52</v>
      </c>
      <c r="E119" s="82">
        <v>-3145.54</v>
      </c>
      <c r="F119" s="79" t="s">
        <v>281</v>
      </c>
    </row>
    <row r="120" spans="1:6" x14ac:dyDescent="0.2">
      <c r="A120" s="79" t="s">
        <v>259</v>
      </c>
      <c r="B120" s="79" t="s">
        <v>282</v>
      </c>
      <c r="C120" s="82">
        <v>10368.43</v>
      </c>
      <c r="D120" s="82">
        <v>10655.44</v>
      </c>
      <c r="E120" s="82">
        <v>-287.01</v>
      </c>
      <c r="F120" s="79" t="s">
        <v>283</v>
      </c>
    </row>
    <row r="121" spans="1:6" x14ac:dyDescent="0.2">
      <c r="A121" s="79" t="s">
        <v>259</v>
      </c>
      <c r="B121" s="79" t="s">
        <v>284</v>
      </c>
      <c r="C121" s="82">
        <v>30131.85</v>
      </c>
      <c r="D121" s="82">
        <v>31632.59</v>
      </c>
      <c r="E121" s="82">
        <v>-1500.74</v>
      </c>
      <c r="F121" s="79" t="s">
        <v>285</v>
      </c>
    </row>
    <row r="122" spans="1:6" x14ac:dyDescent="0.2">
      <c r="A122" s="79" t="s">
        <v>259</v>
      </c>
      <c r="B122" s="79" t="s">
        <v>286</v>
      </c>
      <c r="C122" s="82">
        <v>179500.35</v>
      </c>
      <c r="D122" s="82">
        <v>152638.39999999999</v>
      </c>
      <c r="E122" s="82">
        <v>26861.95</v>
      </c>
      <c r="F122" s="79" t="s">
        <v>287</v>
      </c>
    </row>
    <row r="123" spans="1:6" x14ac:dyDescent="0.2">
      <c r="A123" s="79" t="s">
        <v>259</v>
      </c>
      <c r="B123" s="79" t="s">
        <v>288</v>
      </c>
      <c r="C123" s="82">
        <v>15056.07</v>
      </c>
      <c r="D123" s="82">
        <v>16504.099999999999</v>
      </c>
      <c r="E123" s="82">
        <v>-1448.03</v>
      </c>
      <c r="F123" s="79" t="s">
        <v>289</v>
      </c>
    </row>
    <row r="124" spans="1:6" x14ac:dyDescent="0.2">
      <c r="A124" s="79" t="s">
        <v>259</v>
      </c>
      <c r="B124" s="79" t="s">
        <v>290</v>
      </c>
      <c r="C124" s="82">
        <v>13187.63</v>
      </c>
      <c r="D124" s="82">
        <v>31242.29</v>
      </c>
      <c r="E124" s="82">
        <v>-18054.66</v>
      </c>
      <c r="F124" s="79" t="s">
        <v>291</v>
      </c>
    </row>
    <row r="125" spans="1:6" x14ac:dyDescent="0.2">
      <c r="A125" s="79" t="s">
        <v>259</v>
      </c>
      <c r="B125" s="79" t="s">
        <v>292</v>
      </c>
      <c r="C125" s="82">
        <v>27582.720000000001</v>
      </c>
      <c r="D125" s="82">
        <v>35648.980000000003</v>
      </c>
      <c r="E125" s="82">
        <v>-8066.26</v>
      </c>
      <c r="F125" s="79" t="s">
        <v>293</v>
      </c>
    </row>
    <row r="126" spans="1:6" x14ac:dyDescent="0.2">
      <c r="A126" s="79" t="s">
        <v>259</v>
      </c>
      <c r="B126" s="79" t="s">
        <v>294</v>
      </c>
      <c r="C126" s="82">
        <v>715252.07</v>
      </c>
      <c r="D126" s="82">
        <v>621228.88</v>
      </c>
      <c r="E126" s="82">
        <v>94023.19</v>
      </c>
      <c r="F126" s="79" t="s">
        <v>295</v>
      </c>
    </row>
    <row r="127" spans="1:6" x14ac:dyDescent="0.2">
      <c r="A127" s="79" t="s">
        <v>259</v>
      </c>
      <c r="B127" s="79" t="s">
        <v>296</v>
      </c>
      <c r="C127" s="82">
        <v>0</v>
      </c>
      <c r="D127" s="82">
        <v>2060.81</v>
      </c>
      <c r="E127" s="82">
        <v>-2060.81</v>
      </c>
      <c r="F127" s="79" t="s">
        <v>297</v>
      </c>
    </row>
    <row r="128" spans="1:6" x14ac:dyDescent="0.2">
      <c r="A128" s="79" t="s">
        <v>259</v>
      </c>
      <c r="B128" s="79" t="s">
        <v>298</v>
      </c>
      <c r="C128" s="82">
        <v>0</v>
      </c>
      <c r="D128" s="82">
        <v>10225.84</v>
      </c>
      <c r="E128" s="82">
        <v>-10225.84</v>
      </c>
      <c r="F128" s="79" t="s">
        <v>297</v>
      </c>
    </row>
    <row r="129" spans="1:6" x14ac:dyDescent="0.2">
      <c r="A129" s="79" t="s">
        <v>259</v>
      </c>
      <c r="B129" s="79" t="s">
        <v>299</v>
      </c>
      <c r="C129" s="82">
        <v>0</v>
      </c>
      <c r="D129" s="82">
        <v>555.64</v>
      </c>
      <c r="E129" s="82">
        <v>-555.64</v>
      </c>
      <c r="F129" s="79" t="s">
        <v>297</v>
      </c>
    </row>
    <row r="130" spans="1:6" x14ac:dyDescent="0.2">
      <c r="A130" s="79" t="s">
        <v>259</v>
      </c>
      <c r="B130" s="79" t="s">
        <v>300</v>
      </c>
      <c r="C130" s="82">
        <v>4842319.58</v>
      </c>
      <c r="D130" s="82">
        <v>4612055.72</v>
      </c>
      <c r="E130" s="82">
        <v>230263.86</v>
      </c>
      <c r="F130" s="79" t="s">
        <v>301</v>
      </c>
    </row>
    <row r="131" spans="1:6" x14ac:dyDescent="0.2">
      <c r="A131" s="79" t="s">
        <v>257</v>
      </c>
      <c r="B131" s="79" t="s">
        <v>302</v>
      </c>
      <c r="C131" s="82">
        <v>4842319.58</v>
      </c>
      <c r="D131" s="82">
        <v>4612055.72</v>
      </c>
      <c r="E131" s="82">
        <v>230263.86</v>
      </c>
      <c r="F131" s="79" t="s">
        <v>301</v>
      </c>
    </row>
    <row r="132" spans="1:6" x14ac:dyDescent="0.2">
      <c r="A132" s="79" t="s">
        <v>257</v>
      </c>
      <c r="B132" s="83" t="s">
        <v>303</v>
      </c>
      <c r="C132" s="82">
        <v>0</v>
      </c>
      <c r="D132" s="82">
        <v>0</v>
      </c>
      <c r="E132" s="82">
        <v>0</v>
      </c>
      <c r="F132" s="79" t="s">
        <v>132</v>
      </c>
    </row>
    <row r="133" spans="1:6" x14ac:dyDescent="0.2">
      <c r="A133" s="79" t="s">
        <v>304</v>
      </c>
      <c r="B133" s="79" t="s">
        <v>305</v>
      </c>
      <c r="C133" s="82">
        <v>0</v>
      </c>
      <c r="D133" s="82">
        <v>0</v>
      </c>
      <c r="E133" s="82">
        <v>0</v>
      </c>
      <c r="F133" s="79" t="s">
        <v>132</v>
      </c>
    </row>
    <row r="134" spans="1:6" x14ac:dyDescent="0.2">
      <c r="A134" s="79" t="s">
        <v>304</v>
      </c>
      <c r="B134" s="79" t="s">
        <v>306</v>
      </c>
      <c r="C134" s="82">
        <v>0</v>
      </c>
      <c r="D134" s="82">
        <v>0</v>
      </c>
      <c r="E134" s="82">
        <v>0</v>
      </c>
      <c r="F134" s="79" t="s">
        <v>132</v>
      </c>
    </row>
    <row r="135" spans="1:6" x14ac:dyDescent="0.2">
      <c r="A135" s="79" t="s">
        <v>304</v>
      </c>
      <c r="B135" s="83" t="s">
        <v>307</v>
      </c>
      <c r="C135" s="82">
        <v>0</v>
      </c>
      <c r="D135" s="82">
        <v>0</v>
      </c>
      <c r="E135" s="82">
        <v>0</v>
      </c>
      <c r="F135" s="79" t="s">
        <v>132</v>
      </c>
    </row>
    <row r="136" spans="1:6" x14ac:dyDescent="0.2">
      <c r="A136" s="79" t="s">
        <v>308</v>
      </c>
      <c r="B136" s="79" t="s">
        <v>48</v>
      </c>
      <c r="C136" s="82">
        <v>0</v>
      </c>
      <c r="D136" s="82">
        <v>0</v>
      </c>
      <c r="E136" s="82">
        <v>0</v>
      </c>
      <c r="F136" s="79" t="s">
        <v>132</v>
      </c>
    </row>
    <row r="137" spans="1:6" x14ac:dyDescent="0.2">
      <c r="A137" s="79" t="s">
        <v>308</v>
      </c>
      <c r="B137" s="83" t="s">
        <v>309</v>
      </c>
      <c r="C137" s="82">
        <v>0</v>
      </c>
      <c r="D137" s="82">
        <v>0</v>
      </c>
      <c r="E137" s="82">
        <v>0</v>
      </c>
      <c r="F137" s="79" t="s">
        <v>132</v>
      </c>
    </row>
    <row r="138" spans="1:6" x14ac:dyDescent="0.2">
      <c r="A138" s="79" t="s">
        <v>310</v>
      </c>
      <c r="B138" s="79" t="s">
        <v>311</v>
      </c>
      <c r="C138" s="82">
        <v>0</v>
      </c>
      <c r="D138" s="82">
        <v>0</v>
      </c>
      <c r="E138" s="82">
        <v>0</v>
      </c>
      <c r="F138" s="79" t="s">
        <v>132</v>
      </c>
    </row>
    <row r="139" spans="1:6" x14ac:dyDescent="0.2">
      <c r="A139" s="79" t="s">
        <v>310</v>
      </c>
      <c r="B139" s="83" t="s">
        <v>312</v>
      </c>
      <c r="C139" s="82">
        <v>0</v>
      </c>
      <c r="D139" s="82">
        <v>0</v>
      </c>
      <c r="E139" s="82">
        <v>0</v>
      </c>
      <c r="F139" s="79" t="s">
        <v>132</v>
      </c>
    </row>
    <row r="140" spans="1:6" x14ac:dyDescent="0.2">
      <c r="A140" s="79" t="s">
        <v>310</v>
      </c>
      <c r="B140" s="79" t="s">
        <v>313</v>
      </c>
      <c r="C140" s="82">
        <v>-186543</v>
      </c>
      <c r="D140" s="82">
        <v>-147751</v>
      </c>
      <c r="E140" s="82">
        <v>-38792</v>
      </c>
      <c r="F140" s="79" t="s">
        <v>314</v>
      </c>
    </row>
    <row r="141" spans="1:6" x14ac:dyDescent="0.2">
      <c r="A141" s="79" t="s">
        <v>310</v>
      </c>
      <c r="B141" s="79" t="s">
        <v>315</v>
      </c>
      <c r="C141" s="82">
        <v>-921094.73</v>
      </c>
      <c r="D141" s="82">
        <v>-1756027.59</v>
      </c>
      <c r="E141" s="82">
        <v>834932.86</v>
      </c>
      <c r="F141" s="79" t="s">
        <v>316</v>
      </c>
    </row>
    <row r="142" spans="1:6" x14ac:dyDescent="0.2">
      <c r="A142" s="79" t="s">
        <v>310</v>
      </c>
      <c r="B142" s="79" t="s">
        <v>317</v>
      </c>
      <c r="C142" s="82">
        <v>16158421.74</v>
      </c>
      <c r="D142" s="82">
        <v>12635469.390000001</v>
      </c>
      <c r="E142" s="82">
        <v>3522952.35</v>
      </c>
      <c r="F142" s="79" t="s">
        <v>318</v>
      </c>
    </row>
    <row r="143" spans="1:6" x14ac:dyDescent="0.2">
      <c r="A143" s="79" t="s">
        <v>310</v>
      </c>
      <c r="B143" s="79" t="s">
        <v>319</v>
      </c>
      <c r="C143" s="82">
        <v>3836800.75</v>
      </c>
      <c r="D143" s="82">
        <v>3892067.69</v>
      </c>
      <c r="E143" s="82">
        <v>-55266.94</v>
      </c>
      <c r="F143" s="79" t="s">
        <v>320</v>
      </c>
    </row>
    <row r="144" spans="1:6" x14ac:dyDescent="0.2">
      <c r="A144" s="79" t="s">
        <v>310</v>
      </c>
      <c r="B144" s="79" t="s">
        <v>321</v>
      </c>
      <c r="C144" s="82">
        <v>3293904.24</v>
      </c>
      <c r="D144" s="82">
        <v>3872637.63</v>
      </c>
      <c r="E144" s="82">
        <v>-578733.39</v>
      </c>
      <c r="F144" s="79" t="s">
        <v>322</v>
      </c>
    </row>
    <row r="145" spans="1:6" x14ac:dyDescent="0.2">
      <c r="A145" s="79" t="s">
        <v>310</v>
      </c>
      <c r="B145" s="79" t="s">
        <v>323</v>
      </c>
      <c r="C145" s="82">
        <v>8477.7199999999993</v>
      </c>
      <c r="D145" s="82">
        <v>7271.14</v>
      </c>
      <c r="E145" s="82">
        <v>1206.58</v>
      </c>
      <c r="F145" s="79" t="s">
        <v>324</v>
      </c>
    </row>
    <row r="146" spans="1:6" x14ac:dyDescent="0.2">
      <c r="A146" s="79" t="s">
        <v>310</v>
      </c>
      <c r="B146" s="79" t="s">
        <v>325</v>
      </c>
      <c r="C146" s="82">
        <v>-386203.59</v>
      </c>
      <c r="D146" s="82">
        <v>-411829.71</v>
      </c>
      <c r="E146" s="82">
        <v>25626.12</v>
      </c>
      <c r="F146" s="79" t="s">
        <v>1410</v>
      </c>
    </row>
    <row r="147" spans="1:6" x14ac:dyDescent="0.2">
      <c r="A147" s="79" t="s">
        <v>310</v>
      </c>
      <c r="B147" s="79" t="s">
        <v>326</v>
      </c>
      <c r="C147" s="82">
        <v>5685.35</v>
      </c>
      <c r="D147" s="82">
        <v>10115.459999999999</v>
      </c>
      <c r="E147" s="82">
        <v>-4430.1099999999997</v>
      </c>
      <c r="F147" s="79" t="s">
        <v>327</v>
      </c>
    </row>
    <row r="148" spans="1:6" x14ac:dyDescent="0.2">
      <c r="A148" s="79" t="s">
        <v>310</v>
      </c>
      <c r="B148" s="79" t="s">
        <v>328</v>
      </c>
      <c r="C148" s="82">
        <v>2729.18</v>
      </c>
      <c r="D148" s="82">
        <v>3956.15</v>
      </c>
      <c r="E148" s="82">
        <v>-1226.97</v>
      </c>
      <c r="F148" s="79" t="s">
        <v>329</v>
      </c>
    </row>
    <row r="149" spans="1:6" x14ac:dyDescent="0.2">
      <c r="A149" s="79" t="s">
        <v>310</v>
      </c>
      <c r="B149" s="79" t="s">
        <v>330</v>
      </c>
      <c r="C149" s="82">
        <v>-0.2</v>
      </c>
      <c r="D149" s="82">
        <v>-0.1</v>
      </c>
      <c r="E149" s="82">
        <v>-0.1</v>
      </c>
      <c r="F149" s="79" t="s">
        <v>297</v>
      </c>
    </row>
    <row r="150" spans="1:6" x14ac:dyDescent="0.2">
      <c r="A150" s="79" t="s">
        <v>310</v>
      </c>
      <c r="B150" s="79" t="s">
        <v>331</v>
      </c>
      <c r="C150" s="82">
        <v>137198.85</v>
      </c>
      <c r="D150" s="82">
        <v>-250096.35</v>
      </c>
      <c r="E150" s="82">
        <v>387295.2</v>
      </c>
      <c r="F150" s="79" t="s">
        <v>332</v>
      </c>
    </row>
    <row r="151" spans="1:6" x14ac:dyDescent="0.2">
      <c r="A151" s="79" t="s">
        <v>310</v>
      </c>
      <c r="B151" s="79" t="s">
        <v>333</v>
      </c>
      <c r="C151" s="82">
        <v>120</v>
      </c>
      <c r="D151" s="82">
        <v>728.46</v>
      </c>
      <c r="E151" s="82">
        <v>-608.46</v>
      </c>
      <c r="F151" s="79" t="s">
        <v>334</v>
      </c>
    </row>
    <row r="152" spans="1:6" x14ac:dyDescent="0.2">
      <c r="A152" s="79" t="s">
        <v>310</v>
      </c>
      <c r="B152" s="79" t="s">
        <v>335</v>
      </c>
      <c r="C152" s="82">
        <v>237795.57</v>
      </c>
      <c r="D152" s="82">
        <v>863054.68</v>
      </c>
      <c r="E152" s="82">
        <v>-625259.11</v>
      </c>
      <c r="F152" s="79" t="s">
        <v>336</v>
      </c>
    </row>
    <row r="153" spans="1:6" x14ac:dyDescent="0.2">
      <c r="A153" s="79" t="s">
        <v>310</v>
      </c>
      <c r="B153" s="79" t="s">
        <v>337</v>
      </c>
      <c r="C153" s="82">
        <v>2859856</v>
      </c>
      <c r="D153" s="82">
        <v>1309451.3899999999</v>
      </c>
      <c r="E153" s="82">
        <v>1550404.61</v>
      </c>
      <c r="F153" s="79" t="s">
        <v>338</v>
      </c>
    </row>
    <row r="154" spans="1:6" x14ac:dyDescent="0.2">
      <c r="A154" s="79" t="s">
        <v>310</v>
      </c>
      <c r="B154" s="79" t="s">
        <v>339</v>
      </c>
      <c r="C154" s="82">
        <v>25047147.879999999</v>
      </c>
      <c r="D154" s="82">
        <v>20029047.239999998</v>
      </c>
      <c r="E154" s="82">
        <v>5018100.6399999997</v>
      </c>
      <c r="F154" s="79" t="s">
        <v>1549</v>
      </c>
    </row>
    <row r="155" spans="1:6" x14ac:dyDescent="0.2">
      <c r="A155" s="79" t="s">
        <v>310</v>
      </c>
      <c r="B155" s="79" t="s">
        <v>340</v>
      </c>
      <c r="C155" s="82">
        <v>0</v>
      </c>
      <c r="D155" s="82">
        <v>0</v>
      </c>
      <c r="E155" s="82">
        <v>0</v>
      </c>
      <c r="F155" s="79" t="s">
        <v>132</v>
      </c>
    </row>
    <row r="156" spans="1:6" x14ac:dyDescent="0.2">
      <c r="A156" s="79" t="s">
        <v>310</v>
      </c>
      <c r="B156" s="79" t="s">
        <v>341</v>
      </c>
      <c r="C156" s="82">
        <v>0</v>
      </c>
      <c r="D156" s="82">
        <v>0</v>
      </c>
      <c r="E156" s="82">
        <v>0</v>
      </c>
      <c r="F156" s="79" t="s">
        <v>132</v>
      </c>
    </row>
    <row r="157" spans="1:6" x14ac:dyDescent="0.2">
      <c r="A157" s="79" t="s">
        <v>308</v>
      </c>
      <c r="B157" s="79" t="s">
        <v>132</v>
      </c>
      <c r="C157" s="82">
        <v>25047147.879999999</v>
      </c>
      <c r="D157" s="82">
        <v>20029047.239999998</v>
      </c>
      <c r="E157" s="82">
        <v>5018100.6399999997</v>
      </c>
      <c r="F157" s="79" t="s">
        <v>1549</v>
      </c>
    </row>
    <row r="158" spans="1:6" x14ac:dyDescent="0.2">
      <c r="A158" s="79" t="s">
        <v>342</v>
      </c>
      <c r="B158" s="79" t="s">
        <v>343</v>
      </c>
      <c r="C158" s="82">
        <v>0</v>
      </c>
      <c r="D158" s="82">
        <v>0</v>
      </c>
      <c r="E158" s="82">
        <v>0</v>
      </c>
      <c r="F158" s="79" t="s">
        <v>132</v>
      </c>
    </row>
    <row r="159" spans="1:6" x14ac:dyDescent="0.2">
      <c r="A159" s="79" t="s">
        <v>342</v>
      </c>
      <c r="B159" s="83" t="s">
        <v>344</v>
      </c>
      <c r="C159" s="82">
        <v>0</v>
      </c>
      <c r="D159" s="82">
        <v>0</v>
      </c>
      <c r="E159" s="82">
        <v>0</v>
      </c>
      <c r="F159" s="79" t="s">
        <v>132</v>
      </c>
    </row>
    <row r="160" spans="1:6" x14ac:dyDescent="0.2">
      <c r="A160" s="79" t="s">
        <v>345</v>
      </c>
      <c r="B160" s="79" t="s">
        <v>311</v>
      </c>
      <c r="C160" s="82">
        <v>0</v>
      </c>
      <c r="D160" s="82">
        <v>0</v>
      </c>
      <c r="E160" s="82">
        <v>0</v>
      </c>
      <c r="F160" s="79" t="s">
        <v>132</v>
      </c>
    </row>
    <row r="161" spans="1:6" x14ac:dyDescent="0.2">
      <c r="A161" s="79" t="s">
        <v>345</v>
      </c>
      <c r="B161" s="83" t="s">
        <v>346</v>
      </c>
      <c r="C161" s="82">
        <v>0</v>
      </c>
      <c r="D161" s="82">
        <v>0</v>
      </c>
      <c r="E161" s="82">
        <v>0</v>
      </c>
      <c r="F161" s="79" t="s">
        <v>132</v>
      </c>
    </row>
    <row r="162" spans="1:6" x14ac:dyDescent="0.2">
      <c r="A162" s="79" t="s">
        <v>347</v>
      </c>
      <c r="B162" s="79" t="s">
        <v>348</v>
      </c>
      <c r="C162" s="82">
        <v>0</v>
      </c>
      <c r="D162" s="82">
        <v>0</v>
      </c>
      <c r="E162" s="82">
        <v>0</v>
      </c>
      <c r="F162" s="79" t="s">
        <v>132</v>
      </c>
    </row>
    <row r="163" spans="1:6" x14ac:dyDescent="0.2">
      <c r="A163" s="79" t="s">
        <v>347</v>
      </c>
      <c r="B163" s="79" t="s">
        <v>349</v>
      </c>
      <c r="C163" s="82">
        <v>16476.240000000002</v>
      </c>
      <c r="D163" s="82">
        <v>46371.96</v>
      </c>
      <c r="E163" s="82">
        <v>-29895.72</v>
      </c>
      <c r="F163" s="79" t="s">
        <v>350</v>
      </c>
    </row>
    <row r="164" spans="1:6" x14ac:dyDescent="0.2">
      <c r="A164" s="79" t="s">
        <v>347</v>
      </c>
      <c r="B164" s="79" t="s">
        <v>351</v>
      </c>
      <c r="C164" s="82">
        <v>714.42</v>
      </c>
      <c r="D164" s="82">
        <v>0</v>
      </c>
      <c r="E164" s="82">
        <v>714.42</v>
      </c>
      <c r="F164" s="79" t="s">
        <v>132</v>
      </c>
    </row>
    <row r="165" spans="1:6" x14ac:dyDescent="0.2">
      <c r="A165" s="79" t="s">
        <v>347</v>
      </c>
      <c r="B165" s="79" t="s">
        <v>352</v>
      </c>
      <c r="C165" s="82">
        <v>2800000</v>
      </c>
      <c r="D165" s="82">
        <v>4650000</v>
      </c>
      <c r="E165" s="82">
        <v>-1850000</v>
      </c>
      <c r="F165" s="79" t="s">
        <v>353</v>
      </c>
    </row>
    <row r="166" spans="1:6" x14ac:dyDescent="0.2">
      <c r="A166" s="79" t="s">
        <v>347</v>
      </c>
      <c r="B166" s="79" t="s">
        <v>354</v>
      </c>
      <c r="C166" s="82">
        <v>561.91</v>
      </c>
      <c r="D166" s="82">
        <v>-20243.02</v>
      </c>
      <c r="E166" s="82">
        <v>20804.93</v>
      </c>
      <c r="F166" s="79" t="s">
        <v>355</v>
      </c>
    </row>
    <row r="167" spans="1:6" x14ac:dyDescent="0.2">
      <c r="A167" s="79" t="s">
        <v>347</v>
      </c>
      <c r="B167" s="79" t="s">
        <v>356</v>
      </c>
      <c r="C167" s="82">
        <v>-1354804.66</v>
      </c>
      <c r="D167" s="82">
        <v>-1735218.37</v>
      </c>
      <c r="E167" s="82">
        <v>380413.71</v>
      </c>
      <c r="F167" s="79" t="s">
        <v>357</v>
      </c>
    </row>
    <row r="168" spans="1:6" x14ac:dyDescent="0.2">
      <c r="A168" s="79" t="s">
        <v>347</v>
      </c>
      <c r="B168" s="79" t="s">
        <v>132</v>
      </c>
      <c r="C168" s="82">
        <v>1462947.91</v>
      </c>
      <c r="D168" s="82">
        <v>2940910.57</v>
      </c>
      <c r="E168" s="82">
        <v>-1477962.66</v>
      </c>
      <c r="F168" s="79" t="s">
        <v>358</v>
      </c>
    </row>
    <row r="169" spans="1:6" x14ac:dyDescent="0.2">
      <c r="A169" s="79" t="s">
        <v>359</v>
      </c>
      <c r="B169" s="79" t="s">
        <v>360</v>
      </c>
      <c r="C169" s="82">
        <v>0</v>
      </c>
      <c r="D169" s="82">
        <v>0</v>
      </c>
      <c r="E169" s="82">
        <v>0</v>
      </c>
      <c r="F169" s="79" t="s">
        <v>132</v>
      </c>
    </row>
    <row r="170" spans="1:6" x14ac:dyDescent="0.2">
      <c r="A170" s="79" t="s">
        <v>359</v>
      </c>
      <c r="B170" s="79" t="s">
        <v>361</v>
      </c>
      <c r="C170" s="82">
        <v>49843.35</v>
      </c>
      <c r="D170" s="82">
        <v>193137.96</v>
      </c>
      <c r="E170" s="82">
        <v>-143294.60999999999</v>
      </c>
      <c r="F170" s="79" t="s">
        <v>362</v>
      </c>
    </row>
    <row r="171" spans="1:6" x14ac:dyDescent="0.2">
      <c r="A171" s="79" t="s">
        <v>359</v>
      </c>
      <c r="B171" s="79" t="s">
        <v>363</v>
      </c>
      <c r="C171" s="82">
        <v>-38369.629999999997</v>
      </c>
      <c r="D171" s="82">
        <v>-61771.71</v>
      </c>
      <c r="E171" s="82">
        <v>23402.080000000002</v>
      </c>
      <c r="F171" s="79" t="s">
        <v>364</v>
      </c>
    </row>
    <row r="172" spans="1:6" x14ac:dyDescent="0.2">
      <c r="A172" s="79" t="s">
        <v>359</v>
      </c>
      <c r="B172" s="79" t="s">
        <v>365</v>
      </c>
      <c r="C172" s="82">
        <v>8015000</v>
      </c>
      <c r="D172" s="82">
        <v>9600000</v>
      </c>
      <c r="E172" s="82">
        <v>-1585000</v>
      </c>
      <c r="F172" s="79" t="s">
        <v>366</v>
      </c>
    </row>
    <row r="173" spans="1:6" x14ac:dyDescent="0.2">
      <c r="A173" s="79" t="s">
        <v>359</v>
      </c>
      <c r="B173" s="79" t="s">
        <v>367</v>
      </c>
      <c r="C173" s="82">
        <v>-93642.74</v>
      </c>
      <c r="D173" s="82">
        <v>216691.33</v>
      </c>
      <c r="E173" s="82">
        <v>-310334.07</v>
      </c>
      <c r="F173" s="79" t="s">
        <v>368</v>
      </c>
    </row>
    <row r="174" spans="1:6" x14ac:dyDescent="0.2">
      <c r="A174" s="79" t="s">
        <v>359</v>
      </c>
      <c r="B174" s="79" t="s">
        <v>132</v>
      </c>
      <c r="C174" s="82">
        <v>7932830.9800000004</v>
      </c>
      <c r="D174" s="82">
        <v>9948057.5800000001</v>
      </c>
      <c r="E174" s="82">
        <v>-2015226.6</v>
      </c>
      <c r="F174" s="79" t="s">
        <v>369</v>
      </c>
    </row>
    <row r="175" spans="1:6" x14ac:dyDescent="0.2">
      <c r="A175" s="79" t="s">
        <v>370</v>
      </c>
      <c r="B175" s="79" t="s">
        <v>371</v>
      </c>
      <c r="C175" s="82">
        <v>0</v>
      </c>
      <c r="D175" s="82">
        <v>0</v>
      </c>
      <c r="E175" s="82">
        <v>0</v>
      </c>
      <c r="F175" s="79" t="s">
        <v>132</v>
      </c>
    </row>
    <row r="176" spans="1:6" x14ac:dyDescent="0.2">
      <c r="A176" s="79" t="s">
        <v>370</v>
      </c>
      <c r="B176" s="79" t="s">
        <v>372</v>
      </c>
      <c r="C176" s="82">
        <v>569931.21</v>
      </c>
      <c r="D176" s="82">
        <v>319835.62</v>
      </c>
      <c r="E176" s="82">
        <v>250095.59</v>
      </c>
      <c r="F176" s="79" t="s">
        <v>373</v>
      </c>
    </row>
    <row r="177" spans="1:6" x14ac:dyDescent="0.2">
      <c r="A177" s="79" t="s">
        <v>370</v>
      </c>
      <c r="B177" s="79" t="s">
        <v>374</v>
      </c>
      <c r="C177" s="82">
        <v>-992232.88</v>
      </c>
      <c r="D177" s="82">
        <v>-656028.18000000005</v>
      </c>
      <c r="E177" s="82">
        <v>-336204.7</v>
      </c>
      <c r="F177" s="79" t="s">
        <v>375</v>
      </c>
    </row>
    <row r="178" spans="1:6" x14ac:dyDescent="0.2">
      <c r="A178" s="79" t="s">
        <v>370</v>
      </c>
      <c r="B178" s="79" t="s">
        <v>376</v>
      </c>
      <c r="C178" s="82">
        <v>2610000</v>
      </c>
      <c r="D178" s="82">
        <v>4010000</v>
      </c>
      <c r="E178" s="82">
        <v>-1400000</v>
      </c>
      <c r="F178" s="79" t="s">
        <v>377</v>
      </c>
    </row>
    <row r="179" spans="1:6" x14ac:dyDescent="0.2">
      <c r="A179" s="79" t="s">
        <v>370</v>
      </c>
      <c r="B179" s="79" t="s">
        <v>378</v>
      </c>
      <c r="C179" s="82">
        <v>-6500</v>
      </c>
      <c r="D179" s="82">
        <v>-4000</v>
      </c>
      <c r="E179" s="82">
        <v>-2500</v>
      </c>
      <c r="F179" s="79" t="s">
        <v>379</v>
      </c>
    </row>
    <row r="180" spans="1:6" x14ac:dyDescent="0.2">
      <c r="A180" s="79" t="s">
        <v>370</v>
      </c>
      <c r="B180" s="79" t="s">
        <v>380</v>
      </c>
      <c r="C180" s="82">
        <v>1193400.04</v>
      </c>
      <c r="D180" s="82">
        <v>763751.84</v>
      </c>
      <c r="E180" s="82">
        <v>429648.2</v>
      </c>
      <c r="F180" s="79" t="s">
        <v>381</v>
      </c>
    </row>
    <row r="181" spans="1:6" x14ac:dyDescent="0.2">
      <c r="A181" s="79" t="s">
        <v>370</v>
      </c>
      <c r="B181" s="79" t="s">
        <v>132</v>
      </c>
      <c r="C181" s="82">
        <v>3374598.37</v>
      </c>
      <c r="D181" s="82">
        <v>4433559.28</v>
      </c>
      <c r="E181" s="82">
        <v>-1058960.9099999999</v>
      </c>
      <c r="F181" s="79" t="s">
        <v>382</v>
      </c>
    </row>
    <row r="182" spans="1:6" x14ac:dyDescent="0.2">
      <c r="A182" s="79" t="s">
        <v>345</v>
      </c>
      <c r="B182" s="79" t="s">
        <v>383</v>
      </c>
      <c r="C182" s="82">
        <v>12770377.26</v>
      </c>
      <c r="D182" s="82">
        <v>17322527.43</v>
      </c>
      <c r="E182" s="82">
        <v>-4552150.17</v>
      </c>
      <c r="F182" s="79" t="s">
        <v>314</v>
      </c>
    </row>
    <row r="183" spans="1:6" x14ac:dyDescent="0.2">
      <c r="A183" s="79" t="s">
        <v>345</v>
      </c>
      <c r="B183" s="79" t="s">
        <v>311</v>
      </c>
      <c r="C183" s="82">
        <v>0</v>
      </c>
      <c r="D183" s="82">
        <v>0</v>
      </c>
      <c r="E183" s="82">
        <v>0</v>
      </c>
      <c r="F183" s="79" t="s">
        <v>132</v>
      </c>
    </row>
    <row r="184" spans="1:6" x14ac:dyDescent="0.2">
      <c r="A184" s="79" t="s">
        <v>342</v>
      </c>
      <c r="B184" s="79" t="s">
        <v>132</v>
      </c>
      <c r="C184" s="82">
        <v>12770377.26</v>
      </c>
      <c r="D184" s="82">
        <v>17322527.43</v>
      </c>
      <c r="E184" s="82">
        <v>-4552150.17</v>
      </c>
      <c r="F184" s="79" t="s">
        <v>314</v>
      </c>
    </row>
    <row r="185" spans="1:6" x14ac:dyDescent="0.2">
      <c r="A185" s="79" t="s">
        <v>384</v>
      </c>
      <c r="B185" s="79" t="s">
        <v>385</v>
      </c>
      <c r="C185" s="82">
        <v>0</v>
      </c>
      <c r="D185" s="82">
        <v>0</v>
      </c>
      <c r="E185" s="82">
        <v>0</v>
      </c>
      <c r="F185" s="79" t="s">
        <v>132</v>
      </c>
    </row>
    <row r="186" spans="1:6" x14ac:dyDescent="0.2">
      <c r="A186" s="79" t="s">
        <v>384</v>
      </c>
      <c r="B186" s="79" t="s">
        <v>235</v>
      </c>
      <c r="C186" s="82">
        <v>0</v>
      </c>
      <c r="D186" s="82">
        <v>0</v>
      </c>
      <c r="E186" s="82">
        <v>0</v>
      </c>
      <c r="F186" s="79" t="s">
        <v>132</v>
      </c>
    </row>
    <row r="187" spans="1:6" x14ac:dyDescent="0.2">
      <c r="A187" s="79" t="s">
        <v>384</v>
      </c>
      <c r="B187" s="83" t="s">
        <v>386</v>
      </c>
      <c r="C187" s="82">
        <v>0</v>
      </c>
      <c r="D187" s="82">
        <v>0</v>
      </c>
      <c r="E187" s="82">
        <v>0</v>
      </c>
      <c r="F187" s="79" t="s">
        <v>132</v>
      </c>
    </row>
    <row r="188" spans="1:6" x14ac:dyDescent="0.2">
      <c r="A188" s="79" t="s">
        <v>387</v>
      </c>
      <c r="B188" s="79" t="s">
        <v>311</v>
      </c>
      <c r="C188" s="82">
        <v>0</v>
      </c>
      <c r="D188" s="82">
        <v>0</v>
      </c>
      <c r="E188" s="82">
        <v>0</v>
      </c>
      <c r="F188" s="79" t="s">
        <v>132</v>
      </c>
    </row>
    <row r="189" spans="1:6" x14ac:dyDescent="0.2">
      <c r="A189" s="79" t="s">
        <v>387</v>
      </c>
      <c r="B189" s="83" t="s">
        <v>346</v>
      </c>
      <c r="C189" s="82">
        <v>0</v>
      </c>
      <c r="D189" s="82">
        <v>0</v>
      </c>
      <c r="E189" s="82">
        <v>0</v>
      </c>
      <c r="F189" s="79" t="s">
        <v>132</v>
      </c>
    </row>
    <row r="190" spans="1:6" x14ac:dyDescent="0.2">
      <c r="A190" s="79" t="s">
        <v>387</v>
      </c>
      <c r="B190" s="79" t="s">
        <v>388</v>
      </c>
      <c r="C190" s="82">
        <v>4767.55</v>
      </c>
      <c r="D190" s="82">
        <v>23187.34</v>
      </c>
      <c r="E190" s="82">
        <v>-18419.79</v>
      </c>
      <c r="F190" s="79" t="s">
        <v>389</v>
      </c>
    </row>
    <row r="191" spans="1:6" x14ac:dyDescent="0.2">
      <c r="A191" s="79" t="s">
        <v>387</v>
      </c>
      <c r="B191" s="79" t="s">
        <v>390</v>
      </c>
      <c r="C191" s="82">
        <v>115746.16</v>
      </c>
      <c r="D191" s="82">
        <v>30744.38</v>
      </c>
      <c r="E191" s="82">
        <v>85001.78</v>
      </c>
      <c r="F191" s="79" t="s">
        <v>391</v>
      </c>
    </row>
    <row r="192" spans="1:6" x14ac:dyDescent="0.2">
      <c r="A192" s="79" t="s">
        <v>387</v>
      </c>
      <c r="B192" s="79" t="s">
        <v>392</v>
      </c>
      <c r="C192" s="82">
        <v>120513.71</v>
      </c>
      <c r="D192" s="82">
        <v>53931.72</v>
      </c>
      <c r="E192" s="82">
        <v>66581.990000000005</v>
      </c>
      <c r="F192" s="79" t="s">
        <v>393</v>
      </c>
    </row>
    <row r="193" spans="1:6" x14ac:dyDescent="0.2">
      <c r="A193" s="79" t="s">
        <v>387</v>
      </c>
      <c r="B193" s="79" t="s">
        <v>394</v>
      </c>
      <c r="C193" s="82">
        <v>0</v>
      </c>
      <c r="D193" s="82">
        <v>0</v>
      </c>
      <c r="E193" s="82">
        <v>0</v>
      </c>
      <c r="F193" s="79" t="s">
        <v>132</v>
      </c>
    </row>
    <row r="194" spans="1:6" x14ac:dyDescent="0.2">
      <c r="A194" s="79" t="s">
        <v>387</v>
      </c>
      <c r="B194" s="79" t="s">
        <v>311</v>
      </c>
      <c r="C194" s="82">
        <v>0</v>
      </c>
      <c r="D194" s="82">
        <v>0</v>
      </c>
      <c r="E194" s="82">
        <v>0</v>
      </c>
      <c r="F194" s="79" t="s">
        <v>132</v>
      </c>
    </row>
    <row r="195" spans="1:6" x14ac:dyDescent="0.2">
      <c r="A195" s="79" t="s">
        <v>384</v>
      </c>
      <c r="B195" s="79" t="s">
        <v>132</v>
      </c>
      <c r="C195" s="82">
        <v>120513.71</v>
      </c>
      <c r="D195" s="82">
        <v>53931.72</v>
      </c>
      <c r="E195" s="82">
        <v>66581.990000000005</v>
      </c>
      <c r="F195" s="79" t="s">
        <v>393</v>
      </c>
    </row>
    <row r="196" spans="1:6" x14ac:dyDescent="0.2">
      <c r="A196" s="79" t="s">
        <v>395</v>
      </c>
      <c r="B196" s="79" t="s">
        <v>50</v>
      </c>
      <c r="C196" s="82">
        <v>0</v>
      </c>
      <c r="D196" s="82">
        <v>0</v>
      </c>
      <c r="E196" s="82">
        <v>0</v>
      </c>
      <c r="F196" s="79" t="s">
        <v>132</v>
      </c>
    </row>
    <row r="197" spans="1:6" x14ac:dyDescent="0.2">
      <c r="A197" s="79" t="s">
        <v>395</v>
      </c>
      <c r="B197" s="83" t="s">
        <v>307</v>
      </c>
      <c r="C197" s="82">
        <v>0</v>
      </c>
      <c r="D197" s="82">
        <v>0</v>
      </c>
      <c r="E197" s="82">
        <v>0</v>
      </c>
      <c r="F197" s="79" t="s">
        <v>132</v>
      </c>
    </row>
    <row r="198" spans="1:6" x14ac:dyDescent="0.2">
      <c r="A198" s="79" t="s">
        <v>396</v>
      </c>
      <c r="B198" s="79" t="s">
        <v>311</v>
      </c>
      <c r="C198" s="82">
        <v>0</v>
      </c>
      <c r="D198" s="82">
        <v>0</v>
      </c>
      <c r="E198" s="82">
        <v>0</v>
      </c>
      <c r="F198" s="79" t="s">
        <v>132</v>
      </c>
    </row>
    <row r="199" spans="1:6" x14ac:dyDescent="0.2">
      <c r="A199" s="79" t="s">
        <v>396</v>
      </c>
      <c r="B199" s="83" t="s">
        <v>346</v>
      </c>
      <c r="C199" s="82">
        <v>0</v>
      </c>
      <c r="D199" s="82">
        <v>0</v>
      </c>
      <c r="E199" s="82">
        <v>0</v>
      </c>
      <c r="F199" s="79" t="s">
        <v>132</v>
      </c>
    </row>
    <row r="200" spans="1:6" x14ac:dyDescent="0.2">
      <c r="A200" s="79" t="s">
        <v>396</v>
      </c>
      <c r="B200" s="79" t="s">
        <v>397</v>
      </c>
      <c r="C200" s="82">
        <v>920</v>
      </c>
      <c r="D200" s="82">
        <v>1849.72</v>
      </c>
      <c r="E200" s="82">
        <v>-929.72</v>
      </c>
      <c r="F200" s="79" t="s">
        <v>358</v>
      </c>
    </row>
    <row r="201" spans="1:6" x14ac:dyDescent="0.2">
      <c r="A201" s="79" t="s">
        <v>396</v>
      </c>
      <c r="B201" s="79" t="s">
        <v>398</v>
      </c>
      <c r="C201" s="82">
        <v>6119.04</v>
      </c>
      <c r="D201" s="82">
        <v>3518.84</v>
      </c>
      <c r="E201" s="82">
        <v>2600.1999999999998</v>
      </c>
      <c r="F201" s="79" t="s">
        <v>399</v>
      </c>
    </row>
    <row r="202" spans="1:6" x14ac:dyDescent="0.2">
      <c r="A202" s="79" t="s">
        <v>396</v>
      </c>
      <c r="B202" s="79" t="s">
        <v>400</v>
      </c>
      <c r="C202" s="82">
        <v>0</v>
      </c>
      <c r="D202" s="82">
        <v>-58</v>
      </c>
      <c r="E202" s="82">
        <v>58</v>
      </c>
      <c r="F202" s="79" t="s">
        <v>401</v>
      </c>
    </row>
    <row r="203" spans="1:6" x14ac:dyDescent="0.2">
      <c r="A203" s="79" t="s">
        <v>396</v>
      </c>
      <c r="B203" s="79" t="s">
        <v>402</v>
      </c>
      <c r="C203" s="82">
        <v>0</v>
      </c>
      <c r="D203" s="82">
        <v>1457.9</v>
      </c>
      <c r="E203" s="82">
        <v>-1457.9</v>
      </c>
      <c r="F203" s="79" t="s">
        <v>297</v>
      </c>
    </row>
    <row r="204" spans="1:6" x14ac:dyDescent="0.2">
      <c r="A204" s="79" t="s">
        <v>396</v>
      </c>
      <c r="B204" s="79" t="s">
        <v>403</v>
      </c>
      <c r="C204" s="82">
        <v>15740</v>
      </c>
      <c r="D204" s="82">
        <v>42873.95</v>
      </c>
      <c r="E204" s="82">
        <v>-27133.95</v>
      </c>
      <c r="F204" s="79" t="s">
        <v>404</v>
      </c>
    </row>
    <row r="205" spans="1:6" x14ac:dyDescent="0.2">
      <c r="A205" s="79" t="s">
        <v>396</v>
      </c>
      <c r="B205" s="79" t="s">
        <v>405</v>
      </c>
      <c r="C205" s="82">
        <v>5578.95</v>
      </c>
      <c r="D205" s="82">
        <v>14172.33</v>
      </c>
      <c r="E205" s="82">
        <v>-8593.3799999999992</v>
      </c>
      <c r="F205" s="79" t="s">
        <v>406</v>
      </c>
    </row>
    <row r="206" spans="1:6" x14ac:dyDescent="0.2">
      <c r="A206" s="79" t="s">
        <v>396</v>
      </c>
      <c r="B206" s="79" t="s">
        <v>407</v>
      </c>
      <c r="C206" s="82">
        <v>591570.85</v>
      </c>
      <c r="D206" s="82">
        <v>1323667.27</v>
      </c>
      <c r="E206" s="82">
        <v>-732096.42</v>
      </c>
      <c r="F206" s="79" t="s">
        <v>408</v>
      </c>
    </row>
    <row r="207" spans="1:6" x14ac:dyDescent="0.2">
      <c r="A207" s="79" t="s">
        <v>396</v>
      </c>
      <c r="B207" s="79" t="s">
        <v>409</v>
      </c>
      <c r="C207" s="82">
        <v>165245</v>
      </c>
      <c r="D207" s="82">
        <v>625938.43000000005</v>
      </c>
      <c r="E207" s="82">
        <v>-460693.43</v>
      </c>
      <c r="F207" s="79" t="s">
        <v>1550</v>
      </c>
    </row>
    <row r="208" spans="1:6" x14ac:dyDescent="0.2">
      <c r="A208" s="79" t="s">
        <v>396</v>
      </c>
      <c r="B208" s="79" t="s">
        <v>410</v>
      </c>
      <c r="C208" s="82">
        <v>1803034.84</v>
      </c>
      <c r="D208" s="82">
        <v>178967.61</v>
      </c>
      <c r="E208" s="82">
        <v>1624067.23</v>
      </c>
      <c r="F208" s="79" t="s">
        <v>411</v>
      </c>
    </row>
    <row r="209" spans="1:6" x14ac:dyDescent="0.2">
      <c r="A209" s="79" t="s">
        <v>396</v>
      </c>
      <c r="B209" s="79" t="s">
        <v>412</v>
      </c>
      <c r="C209" s="82">
        <v>2588208.6800000002</v>
      </c>
      <c r="D209" s="82">
        <v>2192388.0499999998</v>
      </c>
      <c r="E209" s="82">
        <v>395820.63</v>
      </c>
      <c r="F209" s="79" t="s">
        <v>584</v>
      </c>
    </row>
    <row r="210" spans="1:6" x14ac:dyDescent="0.2">
      <c r="A210" s="79" t="s">
        <v>396</v>
      </c>
      <c r="B210" s="79" t="s">
        <v>311</v>
      </c>
      <c r="C210" s="82">
        <v>0</v>
      </c>
      <c r="D210" s="82">
        <v>0</v>
      </c>
      <c r="E210" s="82">
        <v>0</v>
      </c>
      <c r="F210" s="79" t="s">
        <v>132</v>
      </c>
    </row>
    <row r="211" spans="1:6" x14ac:dyDescent="0.2">
      <c r="A211" s="79" t="s">
        <v>413</v>
      </c>
      <c r="B211" s="79" t="s">
        <v>414</v>
      </c>
      <c r="C211" s="82">
        <v>-100369</v>
      </c>
      <c r="D211" s="82">
        <v>0</v>
      </c>
      <c r="E211" s="82">
        <v>-100369</v>
      </c>
      <c r="F211" s="79" t="s">
        <v>132</v>
      </c>
    </row>
    <row r="212" spans="1:6" x14ac:dyDescent="0.2">
      <c r="A212" s="79" t="s">
        <v>413</v>
      </c>
      <c r="B212" s="79" t="s">
        <v>415</v>
      </c>
      <c r="C212" s="82">
        <v>209361.52</v>
      </c>
      <c r="D212" s="82">
        <v>0</v>
      </c>
      <c r="E212" s="82">
        <v>209361.52</v>
      </c>
      <c r="F212" s="79" t="s">
        <v>132</v>
      </c>
    </row>
    <row r="213" spans="1:6" x14ac:dyDescent="0.2">
      <c r="A213" s="79" t="s">
        <v>413</v>
      </c>
      <c r="B213" s="79" t="s">
        <v>132</v>
      </c>
      <c r="C213" s="82">
        <v>108992.52</v>
      </c>
      <c r="D213" s="82">
        <v>0</v>
      </c>
      <c r="E213" s="82">
        <v>108992.52</v>
      </c>
      <c r="F213" s="79" t="s">
        <v>132</v>
      </c>
    </row>
    <row r="214" spans="1:6" x14ac:dyDescent="0.2">
      <c r="A214" s="79" t="s">
        <v>416</v>
      </c>
      <c r="B214" s="79" t="s">
        <v>417</v>
      </c>
      <c r="C214" s="82">
        <v>29418</v>
      </c>
      <c r="D214" s="82">
        <v>25200</v>
      </c>
      <c r="E214" s="82">
        <v>4218</v>
      </c>
      <c r="F214" s="79" t="s">
        <v>418</v>
      </c>
    </row>
    <row r="215" spans="1:6" x14ac:dyDescent="0.2">
      <c r="A215" s="79" t="s">
        <v>416</v>
      </c>
      <c r="B215" s="79" t="s">
        <v>419</v>
      </c>
      <c r="C215" s="82">
        <v>0</v>
      </c>
      <c r="D215" s="82">
        <v>6951.18</v>
      </c>
      <c r="E215" s="82">
        <v>-6951.18</v>
      </c>
      <c r="F215" s="79" t="s">
        <v>297</v>
      </c>
    </row>
    <row r="216" spans="1:6" x14ac:dyDescent="0.2">
      <c r="A216" s="79" t="s">
        <v>416</v>
      </c>
      <c r="B216" s="79" t="s">
        <v>132</v>
      </c>
      <c r="C216" s="82">
        <v>29418</v>
      </c>
      <c r="D216" s="82">
        <v>32151.18</v>
      </c>
      <c r="E216" s="82">
        <v>-2733.18</v>
      </c>
      <c r="F216" s="79" t="s">
        <v>420</v>
      </c>
    </row>
    <row r="217" spans="1:6" x14ac:dyDescent="0.2">
      <c r="A217" s="79" t="s">
        <v>421</v>
      </c>
      <c r="B217" s="79" t="s">
        <v>422</v>
      </c>
      <c r="C217" s="82">
        <v>0</v>
      </c>
      <c r="D217" s="82">
        <v>0</v>
      </c>
      <c r="E217" s="82">
        <v>0</v>
      </c>
      <c r="F217" s="79" t="s">
        <v>132</v>
      </c>
    </row>
    <row r="218" spans="1:6" x14ac:dyDescent="0.2">
      <c r="A218" s="79" t="s">
        <v>421</v>
      </c>
      <c r="B218" s="83" t="s">
        <v>423</v>
      </c>
      <c r="C218" s="82">
        <v>0</v>
      </c>
      <c r="D218" s="82">
        <v>0</v>
      </c>
      <c r="E218" s="82">
        <v>0</v>
      </c>
      <c r="F218" s="79" t="s">
        <v>132</v>
      </c>
    </row>
    <row r="219" spans="1:6" x14ac:dyDescent="0.2">
      <c r="A219" s="79" t="s">
        <v>421</v>
      </c>
      <c r="B219" s="79" t="s">
        <v>424</v>
      </c>
      <c r="C219" s="82">
        <v>13727.03</v>
      </c>
      <c r="D219" s="82">
        <v>5364.53</v>
      </c>
      <c r="E219" s="82">
        <v>8362.5</v>
      </c>
      <c r="F219" s="79" t="s">
        <v>425</v>
      </c>
    </row>
    <row r="220" spans="1:6" x14ac:dyDescent="0.2">
      <c r="A220" s="79" t="s">
        <v>421</v>
      </c>
      <c r="B220" s="79" t="s">
        <v>132</v>
      </c>
      <c r="C220" s="82">
        <v>13727.03</v>
      </c>
      <c r="D220" s="82">
        <v>5364.53</v>
      </c>
      <c r="E220" s="82">
        <v>8362.5</v>
      </c>
      <c r="F220" s="79" t="s">
        <v>425</v>
      </c>
    </row>
    <row r="221" spans="1:6" x14ac:dyDescent="0.2">
      <c r="A221" s="79" t="s">
        <v>395</v>
      </c>
      <c r="B221" s="79" t="s">
        <v>426</v>
      </c>
      <c r="C221" s="82">
        <v>2740346.23</v>
      </c>
      <c r="D221" s="82">
        <v>2229903.7599999998</v>
      </c>
      <c r="E221" s="82">
        <v>510442.47</v>
      </c>
      <c r="F221" s="79" t="s">
        <v>1551</v>
      </c>
    </row>
    <row r="222" spans="1:6" x14ac:dyDescent="0.2">
      <c r="A222" s="79" t="s">
        <v>304</v>
      </c>
      <c r="B222" s="79" t="s">
        <v>427</v>
      </c>
      <c r="C222" s="82">
        <v>40678385.079999998</v>
      </c>
      <c r="D222" s="82">
        <v>39635410.149999999</v>
      </c>
      <c r="E222" s="82">
        <v>1042974.93</v>
      </c>
      <c r="F222" s="79" t="s">
        <v>1382</v>
      </c>
    </row>
    <row r="223" spans="1:6" x14ac:dyDescent="0.2">
      <c r="A223" s="79" t="s">
        <v>304</v>
      </c>
      <c r="B223" s="79" t="s">
        <v>429</v>
      </c>
      <c r="C223" s="82">
        <v>0</v>
      </c>
      <c r="D223" s="82">
        <v>0</v>
      </c>
      <c r="E223" s="82">
        <v>0</v>
      </c>
      <c r="F223" s="79" t="s">
        <v>132</v>
      </c>
    </row>
    <row r="224" spans="1:6" x14ac:dyDescent="0.2">
      <c r="A224" s="79" t="s">
        <v>304</v>
      </c>
      <c r="B224" s="83" t="s">
        <v>307</v>
      </c>
      <c r="C224" s="82">
        <v>0</v>
      </c>
      <c r="D224" s="82">
        <v>0</v>
      </c>
      <c r="E224" s="82">
        <v>0</v>
      </c>
      <c r="F224" s="79" t="s">
        <v>132</v>
      </c>
    </row>
    <row r="225" spans="1:6" x14ac:dyDescent="0.2">
      <c r="A225" s="79" t="s">
        <v>430</v>
      </c>
      <c r="B225" s="79" t="s">
        <v>431</v>
      </c>
      <c r="C225" s="82">
        <v>0</v>
      </c>
      <c r="D225" s="82">
        <v>0</v>
      </c>
      <c r="E225" s="82">
        <v>0</v>
      </c>
      <c r="F225" s="79" t="s">
        <v>132</v>
      </c>
    </row>
    <row r="226" spans="1:6" x14ac:dyDescent="0.2">
      <c r="A226" s="79" t="s">
        <v>430</v>
      </c>
      <c r="B226" s="79" t="s">
        <v>432</v>
      </c>
      <c r="C226" s="82">
        <v>0</v>
      </c>
      <c r="D226" s="82">
        <v>0</v>
      </c>
      <c r="E226" s="82">
        <v>0</v>
      </c>
      <c r="F226" s="79" t="s">
        <v>132</v>
      </c>
    </row>
    <row r="227" spans="1:6" x14ac:dyDescent="0.2">
      <c r="A227" s="79" t="s">
        <v>430</v>
      </c>
      <c r="B227" s="83" t="s">
        <v>423</v>
      </c>
      <c r="C227" s="82">
        <v>0</v>
      </c>
      <c r="D227" s="82">
        <v>0</v>
      </c>
      <c r="E227" s="82">
        <v>0</v>
      </c>
      <c r="F227" s="79" t="s">
        <v>132</v>
      </c>
    </row>
    <row r="228" spans="1:6" x14ac:dyDescent="0.2">
      <c r="A228" s="79" t="s">
        <v>433</v>
      </c>
      <c r="B228" s="79" t="s">
        <v>434</v>
      </c>
      <c r="C228" s="82">
        <v>0</v>
      </c>
      <c r="D228" s="82">
        <v>0</v>
      </c>
      <c r="E228" s="82">
        <v>0</v>
      </c>
      <c r="F228" s="79" t="s">
        <v>132</v>
      </c>
    </row>
    <row r="229" spans="1:6" x14ac:dyDescent="0.2">
      <c r="A229" s="79" t="s">
        <v>433</v>
      </c>
      <c r="B229" s="79" t="s">
        <v>435</v>
      </c>
      <c r="C229" s="82">
        <v>491451.69</v>
      </c>
      <c r="D229" s="82">
        <v>1135848.57</v>
      </c>
      <c r="E229" s="82">
        <v>-644396.88</v>
      </c>
      <c r="F229" s="79" t="s">
        <v>436</v>
      </c>
    </row>
    <row r="230" spans="1:6" x14ac:dyDescent="0.2">
      <c r="A230" s="79" t="s">
        <v>433</v>
      </c>
      <c r="B230" s="79" t="s">
        <v>132</v>
      </c>
      <c r="C230" s="82">
        <v>491451.69</v>
      </c>
      <c r="D230" s="82">
        <v>1135848.57</v>
      </c>
      <c r="E230" s="82">
        <v>-644396.88</v>
      </c>
      <c r="F230" s="79" t="s">
        <v>436</v>
      </c>
    </row>
    <row r="231" spans="1:6" x14ac:dyDescent="0.2">
      <c r="A231" s="79" t="s">
        <v>437</v>
      </c>
      <c r="B231" s="79" t="s">
        <v>438</v>
      </c>
      <c r="C231" s="82">
        <v>0</v>
      </c>
      <c r="D231" s="82">
        <v>0</v>
      </c>
      <c r="E231" s="82">
        <v>0</v>
      </c>
      <c r="F231" s="79" t="s">
        <v>132</v>
      </c>
    </row>
    <row r="232" spans="1:6" x14ac:dyDescent="0.2">
      <c r="A232" s="79" t="s">
        <v>437</v>
      </c>
      <c r="B232" s="79" t="s">
        <v>439</v>
      </c>
      <c r="C232" s="82">
        <v>9218103.3499999996</v>
      </c>
      <c r="D232" s="82">
        <v>11016237.23</v>
      </c>
      <c r="E232" s="82">
        <v>-1798133.88</v>
      </c>
      <c r="F232" s="79" t="s">
        <v>440</v>
      </c>
    </row>
    <row r="233" spans="1:6" x14ac:dyDescent="0.2">
      <c r="A233" s="79" t="s">
        <v>437</v>
      </c>
      <c r="B233" s="79" t="s">
        <v>441</v>
      </c>
      <c r="C233" s="82">
        <v>1500</v>
      </c>
      <c r="D233" s="82">
        <v>171500</v>
      </c>
      <c r="E233" s="82">
        <v>-170000</v>
      </c>
      <c r="F233" s="79" t="s">
        <v>442</v>
      </c>
    </row>
    <row r="234" spans="1:6" x14ac:dyDescent="0.2">
      <c r="A234" s="79" t="s">
        <v>437</v>
      </c>
      <c r="B234" s="79" t="s">
        <v>443</v>
      </c>
      <c r="C234" s="82">
        <v>445897.61</v>
      </c>
      <c r="D234" s="82">
        <v>29682.720000000001</v>
      </c>
      <c r="E234" s="82">
        <v>416214.89</v>
      </c>
      <c r="F234" s="79" t="s">
        <v>444</v>
      </c>
    </row>
    <row r="235" spans="1:6" x14ac:dyDescent="0.2">
      <c r="A235" s="79" t="s">
        <v>437</v>
      </c>
      <c r="B235" s="79" t="s">
        <v>445</v>
      </c>
      <c r="C235" s="82">
        <v>102569.47</v>
      </c>
      <c r="D235" s="82">
        <v>102569.47</v>
      </c>
      <c r="E235" s="82">
        <v>0</v>
      </c>
      <c r="F235" s="79" t="s">
        <v>179</v>
      </c>
    </row>
    <row r="236" spans="1:6" x14ac:dyDescent="0.2">
      <c r="A236" s="79" t="s">
        <v>437</v>
      </c>
      <c r="B236" s="79" t="s">
        <v>446</v>
      </c>
      <c r="C236" s="82">
        <v>4210996.82</v>
      </c>
      <c r="D236" s="82">
        <v>4267324.9400000004</v>
      </c>
      <c r="E236" s="82">
        <v>-56328.12</v>
      </c>
      <c r="F236" s="79" t="s">
        <v>447</v>
      </c>
    </row>
    <row r="237" spans="1:6" x14ac:dyDescent="0.2">
      <c r="A237" s="79" t="s">
        <v>437</v>
      </c>
      <c r="B237" s="79" t="s">
        <v>132</v>
      </c>
      <c r="C237" s="82">
        <v>13979067.25</v>
      </c>
      <c r="D237" s="82">
        <v>15587314.359999999</v>
      </c>
      <c r="E237" s="82">
        <v>-1608247.11</v>
      </c>
      <c r="F237" s="79" t="s">
        <v>448</v>
      </c>
    </row>
    <row r="238" spans="1:6" x14ac:dyDescent="0.2">
      <c r="A238" s="79" t="s">
        <v>449</v>
      </c>
      <c r="B238" s="79" t="s">
        <v>450</v>
      </c>
      <c r="C238" s="82">
        <v>0</v>
      </c>
      <c r="D238" s="82">
        <v>0</v>
      </c>
      <c r="E238" s="82">
        <v>0</v>
      </c>
      <c r="F238" s="79" t="s">
        <v>132</v>
      </c>
    </row>
    <row r="239" spans="1:6" x14ac:dyDescent="0.2">
      <c r="A239" s="79" t="s">
        <v>449</v>
      </c>
      <c r="B239" s="79" t="s">
        <v>451</v>
      </c>
      <c r="C239" s="82">
        <v>13130.85</v>
      </c>
      <c r="D239" s="82">
        <v>44318.55</v>
      </c>
      <c r="E239" s="82">
        <v>-31187.7</v>
      </c>
      <c r="F239" s="79" t="s">
        <v>452</v>
      </c>
    </row>
    <row r="240" spans="1:6" x14ac:dyDescent="0.2">
      <c r="A240" s="79" t="s">
        <v>449</v>
      </c>
      <c r="B240" s="79" t="s">
        <v>132</v>
      </c>
      <c r="C240" s="82">
        <v>13130.85</v>
      </c>
      <c r="D240" s="82">
        <v>44318.55</v>
      </c>
      <c r="E240" s="82">
        <v>-31187.7</v>
      </c>
      <c r="F240" s="79" t="s">
        <v>452</v>
      </c>
    </row>
    <row r="241" spans="1:6" x14ac:dyDescent="0.2">
      <c r="A241" s="79" t="s">
        <v>453</v>
      </c>
      <c r="B241" s="79" t="s">
        <v>454</v>
      </c>
      <c r="C241" s="82">
        <v>0</v>
      </c>
      <c r="D241" s="82">
        <v>0</v>
      </c>
      <c r="E241" s="82">
        <v>0</v>
      </c>
      <c r="F241" s="79" t="s">
        <v>132</v>
      </c>
    </row>
    <row r="242" spans="1:6" x14ac:dyDescent="0.2">
      <c r="A242" s="79" t="s">
        <v>453</v>
      </c>
      <c r="B242" s="79" t="s">
        <v>455</v>
      </c>
      <c r="C242" s="82">
        <v>1670980.54</v>
      </c>
      <c r="D242" s="82">
        <v>986850.56</v>
      </c>
      <c r="E242" s="82">
        <v>684129.98</v>
      </c>
      <c r="F242" s="79" t="s">
        <v>456</v>
      </c>
    </row>
    <row r="243" spans="1:6" x14ac:dyDescent="0.2">
      <c r="A243" s="79" t="s">
        <v>453</v>
      </c>
      <c r="B243" s="79" t="s">
        <v>132</v>
      </c>
      <c r="C243" s="82">
        <v>1670980.54</v>
      </c>
      <c r="D243" s="82">
        <v>986850.56</v>
      </c>
      <c r="E243" s="82">
        <v>684129.98</v>
      </c>
      <c r="F243" s="79" t="s">
        <v>456</v>
      </c>
    </row>
    <row r="244" spans="1:6" x14ac:dyDescent="0.2">
      <c r="A244" s="79" t="s">
        <v>457</v>
      </c>
      <c r="B244" s="79" t="s">
        <v>458</v>
      </c>
      <c r="C244" s="82">
        <v>25000000</v>
      </c>
      <c r="D244" s="82">
        <v>20000000</v>
      </c>
      <c r="E244" s="82">
        <v>5000000</v>
      </c>
      <c r="F244" s="79" t="s">
        <v>459</v>
      </c>
    </row>
    <row r="245" spans="1:6" x14ac:dyDescent="0.2">
      <c r="A245" s="79" t="s">
        <v>457</v>
      </c>
      <c r="B245" s="79" t="s">
        <v>132</v>
      </c>
      <c r="C245" s="82">
        <v>25000000</v>
      </c>
      <c r="D245" s="82">
        <v>20000000</v>
      </c>
      <c r="E245" s="82">
        <v>5000000</v>
      </c>
      <c r="F245" s="79" t="s">
        <v>459</v>
      </c>
    </row>
    <row r="246" spans="1:6" x14ac:dyDescent="0.2">
      <c r="A246" s="79" t="s">
        <v>460</v>
      </c>
      <c r="B246" s="79" t="s">
        <v>461</v>
      </c>
      <c r="C246" s="82">
        <v>12578.03</v>
      </c>
      <c r="D246" s="82">
        <v>14214.91</v>
      </c>
      <c r="E246" s="82">
        <v>-1636.88</v>
      </c>
      <c r="F246" s="79" t="s">
        <v>462</v>
      </c>
    </row>
    <row r="247" spans="1:6" x14ac:dyDescent="0.2">
      <c r="A247" s="79" t="s">
        <v>460</v>
      </c>
      <c r="B247" s="79" t="s">
        <v>463</v>
      </c>
      <c r="C247" s="82">
        <v>10849.16</v>
      </c>
      <c r="D247" s="82">
        <v>55353.21</v>
      </c>
      <c r="E247" s="82">
        <v>-44504.05</v>
      </c>
      <c r="F247" s="79" t="s">
        <v>464</v>
      </c>
    </row>
    <row r="248" spans="1:6" x14ac:dyDescent="0.2">
      <c r="A248" s="79" t="s">
        <v>460</v>
      </c>
      <c r="B248" s="79" t="s">
        <v>132</v>
      </c>
      <c r="C248" s="82">
        <v>23427.19</v>
      </c>
      <c r="D248" s="82">
        <v>69568.12</v>
      </c>
      <c r="E248" s="82">
        <v>-46140.93</v>
      </c>
      <c r="F248" s="79" t="s">
        <v>465</v>
      </c>
    </row>
    <row r="249" spans="1:6" x14ac:dyDescent="0.2">
      <c r="A249" s="79" t="s">
        <v>466</v>
      </c>
      <c r="B249" s="79" t="s">
        <v>467</v>
      </c>
      <c r="C249" s="82">
        <v>13519.13</v>
      </c>
      <c r="D249" s="82">
        <v>22153.78</v>
      </c>
      <c r="E249" s="82">
        <v>-8634.65</v>
      </c>
      <c r="F249" s="79" t="s">
        <v>468</v>
      </c>
    </row>
    <row r="250" spans="1:6" x14ac:dyDescent="0.2">
      <c r="A250" s="79" t="s">
        <v>466</v>
      </c>
      <c r="B250" s="79" t="s">
        <v>132</v>
      </c>
      <c r="C250" s="82">
        <v>13519.13</v>
      </c>
      <c r="D250" s="82">
        <v>22153.78</v>
      </c>
      <c r="E250" s="82">
        <v>-8634.65</v>
      </c>
      <c r="F250" s="79" t="s">
        <v>468</v>
      </c>
    </row>
    <row r="251" spans="1:6" x14ac:dyDescent="0.2">
      <c r="A251" s="79" t="s">
        <v>469</v>
      </c>
      <c r="B251" s="79" t="s">
        <v>470</v>
      </c>
      <c r="C251" s="82">
        <v>49309.84</v>
      </c>
      <c r="D251" s="82">
        <v>17565.37</v>
      </c>
      <c r="E251" s="82">
        <v>31744.47</v>
      </c>
      <c r="F251" s="79" t="s">
        <v>471</v>
      </c>
    </row>
    <row r="252" spans="1:6" x14ac:dyDescent="0.2">
      <c r="A252" s="79" t="s">
        <v>469</v>
      </c>
      <c r="B252" s="79" t="s">
        <v>132</v>
      </c>
      <c r="C252" s="82">
        <v>49309.84</v>
      </c>
      <c r="D252" s="82">
        <v>17565.37</v>
      </c>
      <c r="E252" s="82">
        <v>31744.47</v>
      </c>
      <c r="F252" s="79" t="s">
        <v>471</v>
      </c>
    </row>
    <row r="253" spans="1:6" x14ac:dyDescent="0.2">
      <c r="A253" s="79" t="s">
        <v>472</v>
      </c>
      <c r="B253" s="79" t="s">
        <v>473</v>
      </c>
      <c r="C253" s="82">
        <v>180080.74</v>
      </c>
      <c r="D253" s="82">
        <v>33952.959999999999</v>
      </c>
      <c r="E253" s="82">
        <v>146127.78</v>
      </c>
      <c r="F253" s="79" t="s">
        <v>474</v>
      </c>
    </row>
    <row r="254" spans="1:6" x14ac:dyDescent="0.2">
      <c r="A254" s="79" t="s">
        <v>472</v>
      </c>
      <c r="B254" s="79" t="s">
        <v>132</v>
      </c>
      <c r="C254" s="82">
        <v>180080.74</v>
      </c>
      <c r="D254" s="82">
        <v>33952.959999999999</v>
      </c>
      <c r="E254" s="82">
        <v>146127.78</v>
      </c>
      <c r="F254" s="79" t="s">
        <v>474</v>
      </c>
    </row>
    <row r="255" spans="1:6" x14ac:dyDescent="0.2">
      <c r="A255" s="79" t="s">
        <v>475</v>
      </c>
      <c r="B255" s="79" t="s">
        <v>476</v>
      </c>
      <c r="C255" s="82">
        <v>7668.84</v>
      </c>
      <c r="D255" s="82">
        <v>32885.839999999997</v>
      </c>
      <c r="E255" s="82">
        <v>-25217</v>
      </c>
      <c r="F255" s="79" t="s">
        <v>477</v>
      </c>
    </row>
    <row r="256" spans="1:6" x14ac:dyDescent="0.2">
      <c r="A256" s="79" t="s">
        <v>475</v>
      </c>
      <c r="B256" s="79" t="s">
        <v>478</v>
      </c>
      <c r="C256" s="82">
        <v>27849.07</v>
      </c>
      <c r="D256" s="82">
        <v>154394.04999999999</v>
      </c>
      <c r="E256" s="82">
        <v>-126544.98</v>
      </c>
      <c r="F256" s="79" t="s">
        <v>479</v>
      </c>
    </row>
    <row r="257" spans="1:6" x14ac:dyDescent="0.2">
      <c r="A257" s="79" t="s">
        <v>475</v>
      </c>
      <c r="B257" s="79" t="s">
        <v>480</v>
      </c>
      <c r="C257" s="82">
        <v>3559943.83</v>
      </c>
      <c r="D257" s="82">
        <v>18561331.57</v>
      </c>
      <c r="E257" s="82">
        <v>-15001387.74</v>
      </c>
      <c r="F257" s="79" t="s">
        <v>481</v>
      </c>
    </row>
    <row r="258" spans="1:6" x14ac:dyDescent="0.2">
      <c r="A258" s="79" t="s">
        <v>475</v>
      </c>
      <c r="B258" s="79" t="s">
        <v>132</v>
      </c>
      <c r="C258" s="82">
        <v>3595461.74</v>
      </c>
      <c r="D258" s="82">
        <v>18748611.460000001</v>
      </c>
      <c r="E258" s="82">
        <v>-15153149.720000001</v>
      </c>
      <c r="F258" s="79" t="s">
        <v>481</v>
      </c>
    </row>
    <row r="259" spans="1:6" x14ac:dyDescent="0.2">
      <c r="A259" s="79" t="s">
        <v>482</v>
      </c>
      <c r="B259" s="79" t="s">
        <v>483</v>
      </c>
      <c r="C259" s="82">
        <v>6707.1</v>
      </c>
      <c r="D259" s="82">
        <v>7338.78</v>
      </c>
      <c r="E259" s="82">
        <v>-631.67999999999995</v>
      </c>
      <c r="F259" s="79" t="s">
        <v>484</v>
      </c>
    </row>
    <row r="260" spans="1:6" x14ac:dyDescent="0.2">
      <c r="A260" s="79" t="s">
        <v>482</v>
      </c>
      <c r="B260" s="79" t="s">
        <v>485</v>
      </c>
      <c r="C260" s="82">
        <v>3592.43</v>
      </c>
      <c r="D260" s="82">
        <v>3218.82</v>
      </c>
      <c r="E260" s="82">
        <v>373.61</v>
      </c>
      <c r="F260" s="79" t="s">
        <v>486</v>
      </c>
    </row>
    <row r="261" spans="1:6" x14ac:dyDescent="0.2">
      <c r="A261" s="79" t="s">
        <v>482</v>
      </c>
      <c r="B261" s="79" t="s">
        <v>487</v>
      </c>
      <c r="C261" s="82">
        <v>288</v>
      </c>
      <c r="D261" s="82">
        <v>132</v>
      </c>
      <c r="E261" s="82">
        <v>156</v>
      </c>
      <c r="F261" s="79" t="s">
        <v>488</v>
      </c>
    </row>
    <row r="262" spans="1:6" x14ac:dyDescent="0.2">
      <c r="A262" s="79" t="s">
        <v>482</v>
      </c>
      <c r="B262" s="79" t="s">
        <v>489</v>
      </c>
      <c r="C262" s="82">
        <v>46913.7</v>
      </c>
      <c r="D262" s="82">
        <v>167434.79999999999</v>
      </c>
      <c r="E262" s="82">
        <v>-120521.1</v>
      </c>
      <c r="F262" s="79" t="s">
        <v>1552</v>
      </c>
    </row>
    <row r="263" spans="1:6" x14ac:dyDescent="0.2">
      <c r="A263" s="79" t="s">
        <v>482</v>
      </c>
      <c r="B263" s="79" t="s">
        <v>132</v>
      </c>
      <c r="C263" s="82">
        <v>57501.23</v>
      </c>
      <c r="D263" s="82">
        <v>178124.4</v>
      </c>
      <c r="E263" s="82">
        <v>-120623.17</v>
      </c>
      <c r="F263" s="79" t="s">
        <v>1553</v>
      </c>
    </row>
    <row r="264" spans="1:6" x14ac:dyDescent="0.2">
      <c r="A264" s="79" t="s">
        <v>430</v>
      </c>
      <c r="B264" s="79" t="s">
        <v>490</v>
      </c>
      <c r="C264" s="82">
        <v>45073930.200000003</v>
      </c>
      <c r="D264" s="82">
        <v>56824308.130000003</v>
      </c>
      <c r="E264" s="82">
        <v>-11750377.93</v>
      </c>
      <c r="F264" s="79" t="s">
        <v>1554</v>
      </c>
    </row>
    <row r="265" spans="1:6" x14ac:dyDescent="0.2">
      <c r="A265" s="79" t="s">
        <v>430</v>
      </c>
      <c r="B265" s="79" t="s">
        <v>491</v>
      </c>
      <c r="C265" s="82">
        <v>0</v>
      </c>
      <c r="D265" s="82">
        <v>0</v>
      </c>
      <c r="E265" s="82">
        <v>0</v>
      </c>
      <c r="F265" s="79" t="s">
        <v>132</v>
      </c>
    </row>
    <row r="266" spans="1:6" x14ac:dyDescent="0.2">
      <c r="A266" s="79" t="s">
        <v>430</v>
      </c>
      <c r="B266" s="79" t="s">
        <v>492</v>
      </c>
      <c r="C266" s="82">
        <v>0</v>
      </c>
      <c r="D266" s="82">
        <v>0</v>
      </c>
      <c r="E266" s="82">
        <v>0</v>
      </c>
      <c r="F266" s="79" t="s">
        <v>132</v>
      </c>
    </row>
    <row r="267" spans="1:6" x14ac:dyDescent="0.2">
      <c r="A267" s="79" t="s">
        <v>254</v>
      </c>
      <c r="B267" s="79" t="s">
        <v>493</v>
      </c>
      <c r="C267" s="82">
        <v>90594634.859999999</v>
      </c>
      <c r="D267" s="82">
        <v>101071774</v>
      </c>
      <c r="E267" s="82">
        <v>-10477139.140000001</v>
      </c>
      <c r="F267" s="79" t="s">
        <v>1555</v>
      </c>
    </row>
    <row r="268" spans="1:6" x14ac:dyDescent="0.2">
      <c r="A268" s="79" t="s">
        <v>254</v>
      </c>
      <c r="B268" s="83" t="s">
        <v>153</v>
      </c>
      <c r="C268" s="82">
        <v>0</v>
      </c>
      <c r="D268" s="82">
        <v>0</v>
      </c>
      <c r="E268" s="82">
        <v>0</v>
      </c>
      <c r="F268" s="79" t="s">
        <v>132</v>
      </c>
    </row>
    <row r="269" spans="1:6" x14ac:dyDescent="0.2">
      <c r="A269" s="79" t="s">
        <v>495</v>
      </c>
      <c r="B269" s="79" t="s">
        <v>496</v>
      </c>
      <c r="C269" s="82">
        <v>0</v>
      </c>
      <c r="D269" s="82">
        <v>0</v>
      </c>
      <c r="E269" s="82">
        <v>0</v>
      </c>
      <c r="F269" s="79" t="s">
        <v>132</v>
      </c>
    </row>
    <row r="270" spans="1:6" x14ac:dyDescent="0.2">
      <c r="A270" s="79" t="s">
        <v>495</v>
      </c>
      <c r="B270" s="83" t="s">
        <v>497</v>
      </c>
      <c r="C270" s="82">
        <v>0</v>
      </c>
      <c r="D270" s="82">
        <v>0</v>
      </c>
      <c r="E270" s="82">
        <v>0</v>
      </c>
      <c r="F270" s="79" t="s">
        <v>132</v>
      </c>
    </row>
    <row r="271" spans="1:6" x14ac:dyDescent="0.2">
      <c r="A271" s="79" t="s">
        <v>498</v>
      </c>
      <c r="B271" s="79" t="s">
        <v>499</v>
      </c>
      <c r="C271" s="82">
        <v>0</v>
      </c>
      <c r="D271" s="82">
        <v>0</v>
      </c>
      <c r="E271" s="82">
        <v>0</v>
      </c>
      <c r="F271" s="79" t="s">
        <v>132</v>
      </c>
    </row>
    <row r="272" spans="1:6" x14ac:dyDescent="0.2">
      <c r="A272" s="79" t="s">
        <v>498</v>
      </c>
      <c r="B272" s="83" t="s">
        <v>309</v>
      </c>
      <c r="C272" s="82">
        <v>0</v>
      </c>
      <c r="D272" s="82">
        <v>0</v>
      </c>
      <c r="E272" s="82">
        <v>0</v>
      </c>
      <c r="F272" s="79" t="s">
        <v>132</v>
      </c>
    </row>
    <row r="273" spans="1:6" x14ac:dyDescent="0.2">
      <c r="A273" s="79" t="s">
        <v>498</v>
      </c>
      <c r="B273" s="79" t="s">
        <v>500</v>
      </c>
      <c r="C273" s="82">
        <v>1283956.82</v>
      </c>
      <c r="D273" s="82">
        <v>1670783.48</v>
      </c>
      <c r="E273" s="82">
        <v>-386826.66</v>
      </c>
      <c r="F273" s="79" t="s">
        <v>501</v>
      </c>
    </row>
    <row r="274" spans="1:6" x14ac:dyDescent="0.2">
      <c r="A274" s="79" t="s">
        <v>498</v>
      </c>
      <c r="B274" s="79" t="s">
        <v>502</v>
      </c>
      <c r="C274" s="82">
        <v>1283956.82</v>
      </c>
      <c r="D274" s="82">
        <v>1670783.48</v>
      </c>
      <c r="E274" s="82">
        <v>-386826.66</v>
      </c>
      <c r="F274" s="79" t="s">
        <v>501</v>
      </c>
    </row>
    <row r="275" spans="1:6" x14ac:dyDescent="0.2">
      <c r="A275" s="79" t="s">
        <v>495</v>
      </c>
      <c r="B275" s="79" t="s">
        <v>503</v>
      </c>
      <c r="C275" s="82">
        <v>1283956.82</v>
      </c>
      <c r="D275" s="82">
        <v>1670783.48</v>
      </c>
      <c r="E275" s="82">
        <v>-386826.66</v>
      </c>
      <c r="F275" s="79" t="s">
        <v>501</v>
      </c>
    </row>
    <row r="276" spans="1:6" x14ac:dyDescent="0.2">
      <c r="A276" s="79" t="s">
        <v>495</v>
      </c>
      <c r="B276" s="83" t="s">
        <v>504</v>
      </c>
      <c r="C276" s="82">
        <v>0</v>
      </c>
      <c r="D276" s="82">
        <v>0</v>
      </c>
      <c r="E276" s="82">
        <v>0</v>
      </c>
      <c r="F276" s="79" t="s">
        <v>132</v>
      </c>
    </row>
    <row r="277" spans="1:6" x14ac:dyDescent="0.2">
      <c r="A277" s="79" t="s">
        <v>505</v>
      </c>
      <c r="B277" s="79" t="s">
        <v>506</v>
      </c>
      <c r="C277" s="82">
        <v>0</v>
      </c>
      <c r="D277" s="82">
        <v>0</v>
      </c>
      <c r="E277" s="82">
        <v>0</v>
      </c>
      <c r="F277" s="79" t="s">
        <v>132</v>
      </c>
    </row>
    <row r="278" spans="1:6" x14ac:dyDescent="0.2">
      <c r="A278" s="79" t="s">
        <v>505</v>
      </c>
      <c r="B278" s="83" t="s">
        <v>507</v>
      </c>
      <c r="C278" s="82">
        <v>0</v>
      </c>
      <c r="D278" s="82">
        <v>0</v>
      </c>
      <c r="E278" s="82">
        <v>0</v>
      </c>
      <c r="F278" s="79" t="s">
        <v>132</v>
      </c>
    </row>
    <row r="279" spans="1:6" x14ac:dyDescent="0.2">
      <c r="A279" s="79" t="s">
        <v>505</v>
      </c>
      <c r="B279" s="79" t="s">
        <v>508</v>
      </c>
      <c r="C279" s="82">
        <v>594605.24</v>
      </c>
      <c r="D279" s="82">
        <v>1577169.89</v>
      </c>
      <c r="E279" s="82">
        <v>-982564.65</v>
      </c>
      <c r="F279" s="79" t="s">
        <v>509</v>
      </c>
    </row>
    <row r="280" spans="1:6" x14ac:dyDescent="0.2">
      <c r="A280" s="79" t="s">
        <v>505</v>
      </c>
      <c r="B280" s="79" t="s">
        <v>132</v>
      </c>
      <c r="C280" s="82">
        <v>594605.24</v>
      </c>
      <c r="D280" s="82">
        <v>1577169.89</v>
      </c>
      <c r="E280" s="82">
        <v>-982564.65</v>
      </c>
      <c r="F280" s="79" t="s">
        <v>509</v>
      </c>
    </row>
    <row r="281" spans="1:6" x14ac:dyDescent="0.2">
      <c r="A281" s="79" t="s">
        <v>510</v>
      </c>
      <c r="B281" s="79" t="s">
        <v>102</v>
      </c>
      <c r="C281" s="82">
        <v>0</v>
      </c>
      <c r="D281" s="82">
        <v>0</v>
      </c>
      <c r="E281" s="82">
        <v>0</v>
      </c>
      <c r="F281" s="79" t="s">
        <v>132</v>
      </c>
    </row>
    <row r="282" spans="1:6" x14ac:dyDescent="0.2">
      <c r="A282" s="79" t="s">
        <v>510</v>
      </c>
      <c r="B282" s="83" t="s">
        <v>312</v>
      </c>
      <c r="C282" s="82">
        <v>0</v>
      </c>
      <c r="D282" s="82">
        <v>0</v>
      </c>
      <c r="E282" s="82">
        <v>0</v>
      </c>
      <c r="F282" s="79" t="s">
        <v>132</v>
      </c>
    </row>
    <row r="283" spans="1:6" x14ac:dyDescent="0.2">
      <c r="A283" s="79" t="s">
        <v>510</v>
      </c>
      <c r="B283" s="79" t="s">
        <v>511</v>
      </c>
      <c r="C283" s="82">
        <v>21263168.969999999</v>
      </c>
      <c r="D283" s="82">
        <v>41509758.119999997</v>
      </c>
      <c r="E283" s="82">
        <v>-20246589.149999999</v>
      </c>
      <c r="F283" s="79" t="s">
        <v>512</v>
      </c>
    </row>
    <row r="284" spans="1:6" x14ac:dyDescent="0.2">
      <c r="A284" s="79" t="s">
        <v>510</v>
      </c>
      <c r="B284" s="79" t="s">
        <v>132</v>
      </c>
      <c r="C284" s="82">
        <v>21263168.969999999</v>
      </c>
      <c r="D284" s="82">
        <v>41509758.119999997</v>
      </c>
      <c r="E284" s="82">
        <v>-20246589.149999999</v>
      </c>
      <c r="F284" s="79" t="s">
        <v>512</v>
      </c>
    </row>
    <row r="285" spans="1:6" x14ac:dyDescent="0.2">
      <c r="A285" s="79" t="s">
        <v>130</v>
      </c>
      <c r="B285" s="79" t="s">
        <v>513</v>
      </c>
      <c r="C285" s="82">
        <v>1114873092.02</v>
      </c>
      <c r="D285" s="82">
        <v>1137228544.3499999</v>
      </c>
      <c r="E285" s="82">
        <v>-22355452.329999998</v>
      </c>
      <c r="F285" s="79" t="s">
        <v>175</v>
      </c>
    </row>
    <row r="286" spans="1:6" x14ac:dyDescent="0.2">
      <c r="A286" s="79" t="s">
        <v>130</v>
      </c>
      <c r="B286" s="83" t="s">
        <v>162</v>
      </c>
      <c r="C286" s="82">
        <v>0</v>
      </c>
      <c r="D286" s="82">
        <v>0</v>
      </c>
      <c r="E286" s="82">
        <v>0</v>
      </c>
      <c r="F286" s="79" t="s">
        <v>132</v>
      </c>
    </row>
    <row r="287" spans="1:6" x14ac:dyDescent="0.2">
      <c r="A287" s="79" t="s">
        <v>515</v>
      </c>
      <c r="B287" s="79" t="s">
        <v>516</v>
      </c>
      <c r="C287" s="82">
        <v>0</v>
      </c>
      <c r="D287" s="82">
        <v>0</v>
      </c>
      <c r="E287" s="82">
        <v>0</v>
      </c>
      <c r="F287" s="79" t="s">
        <v>132</v>
      </c>
    </row>
    <row r="288" spans="1:6" x14ac:dyDescent="0.2">
      <c r="A288" s="79" t="s">
        <v>515</v>
      </c>
      <c r="B288" s="83" t="s">
        <v>517</v>
      </c>
      <c r="C288" s="82">
        <v>0</v>
      </c>
      <c r="D288" s="82">
        <v>0</v>
      </c>
      <c r="E288" s="82">
        <v>0</v>
      </c>
      <c r="F288" s="79" t="s">
        <v>132</v>
      </c>
    </row>
    <row r="289" spans="1:6" x14ac:dyDescent="0.2">
      <c r="A289" s="79" t="s">
        <v>518</v>
      </c>
      <c r="B289" s="79" t="s">
        <v>519</v>
      </c>
      <c r="C289" s="82">
        <v>0</v>
      </c>
      <c r="D289" s="82">
        <v>0</v>
      </c>
      <c r="E289" s="82">
        <v>0</v>
      </c>
      <c r="F289" s="79" t="s">
        <v>132</v>
      </c>
    </row>
    <row r="290" spans="1:6" x14ac:dyDescent="0.2">
      <c r="A290" s="79" t="s">
        <v>518</v>
      </c>
      <c r="B290" s="83" t="s">
        <v>162</v>
      </c>
      <c r="C290" s="82">
        <v>0</v>
      </c>
      <c r="D290" s="82">
        <v>0</v>
      </c>
      <c r="E290" s="82">
        <v>0</v>
      </c>
      <c r="F290" s="79" t="s">
        <v>132</v>
      </c>
    </row>
    <row r="291" spans="1:6" x14ac:dyDescent="0.2">
      <c r="A291" s="79" t="s">
        <v>520</v>
      </c>
      <c r="B291" s="79" t="s">
        <v>8</v>
      </c>
      <c r="C291" s="82">
        <v>0</v>
      </c>
      <c r="D291" s="82">
        <v>0</v>
      </c>
      <c r="E291" s="82">
        <v>0</v>
      </c>
      <c r="F291" s="79" t="s">
        <v>132</v>
      </c>
    </row>
    <row r="292" spans="1:6" x14ac:dyDescent="0.2">
      <c r="A292" s="79" t="s">
        <v>520</v>
      </c>
      <c r="B292" s="83" t="s">
        <v>253</v>
      </c>
      <c r="C292" s="82">
        <v>0</v>
      </c>
      <c r="D292" s="82">
        <v>0</v>
      </c>
      <c r="E292" s="82">
        <v>0</v>
      </c>
      <c r="F292" s="79" t="s">
        <v>132</v>
      </c>
    </row>
    <row r="293" spans="1:6" x14ac:dyDescent="0.2">
      <c r="A293" s="79" t="s">
        <v>520</v>
      </c>
      <c r="B293" s="79" t="s">
        <v>521</v>
      </c>
      <c r="C293" s="82">
        <v>-25600000</v>
      </c>
      <c r="D293" s="82">
        <v>-25600000</v>
      </c>
      <c r="E293" s="82">
        <v>0</v>
      </c>
      <c r="F293" s="79" t="s">
        <v>179</v>
      </c>
    </row>
    <row r="294" spans="1:6" x14ac:dyDescent="0.2">
      <c r="A294" s="79" t="s">
        <v>520</v>
      </c>
      <c r="B294" s="79" t="s">
        <v>132</v>
      </c>
      <c r="C294" s="82">
        <v>-25600000</v>
      </c>
      <c r="D294" s="82">
        <v>-25600000</v>
      </c>
      <c r="E294" s="82">
        <v>0</v>
      </c>
      <c r="F294" s="79" t="s">
        <v>179</v>
      </c>
    </row>
    <row r="295" spans="1:6" x14ac:dyDescent="0.2">
      <c r="A295" s="79" t="s">
        <v>522</v>
      </c>
      <c r="B295" s="79" t="s">
        <v>10</v>
      </c>
      <c r="C295" s="82">
        <v>0</v>
      </c>
      <c r="D295" s="82">
        <v>0</v>
      </c>
      <c r="E295" s="82">
        <v>0</v>
      </c>
      <c r="F295" s="79" t="s">
        <v>132</v>
      </c>
    </row>
    <row r="296" spans="1:6" x14ac:dyDescent="0.2">
      <c r="A296" s="79" t="s">
        <v>522</v>
      </c>
      <c r="B296" s="83" t="s">
        <v>136</v>
      </c>
      <c r="C296" s="82">
        <v>0</v>
      </c>
      <c r="D296" s="82">
        <v>0</v>
      </c>
      <c r="E296" s="82">
        <v>0</v>
      </c>
      <c r="F296" s="79" t="s">
        <v>132</v>
      </c>
    </row>
    <row r="297" spans="1:6" x14ac:dyDescent="0.2">
      <c r="A297" s="79" t="s">
        <v>522</v>
      </c>
      <c r="B297" s="79" t="s">
        <v>523</v>
      </c>
      <c r="C297" s="82">
        <v>-80582202.950000003</v>
      </c>
      <c r="D297" s="82">
        <v>-80582202.950000003</v>
      </c>
      <c r="E297" s="82">
        <v>0</v>
      </c>
      <c r="F297" s="79" t="s">
        <v>179</v>
      </c>
    </row>
    <row r="298" spans="1:6" x14ac:dyDescent="0.2">
      <c r="A298" s="79" t="s">
        <v>522</v>
      </c>
      <c r="B298" s="79" t="s">
        <v>132</v>
      </c>
      <c r="C298" s="82">
        <v>-80582202.950000003</v>
      </c>
      <c r="D298" s="82">
        <v>-80582202.950000003</v>
      </c>
      <c r="E298" s="82">
        <v>0</v>
      </c>
      <c r="F298" s="79" t="s">
        <v>179</v>
      </c>
    </row>
    <row r="299" spans="1:6" x14ac:dyDescent="0.2">
      <c r="A299" s="79" t="s">
        <v>524</v>
      </c>
      <c r="B299" s="79" t="s">
        <v>525</v>
      </c>
      <c r="C299" s="82">
        <v>0</v>
      </c>
      <c r="D299" s="82">
        <v>0</v>
      </c>
      <c r="E299" s="82">
        <v>0</v>
      </c>
      <c r="F299" s="79" t="s">
        <v>132</v>
      </c>
    </row>
    <row r="300" spans="1:6" x14ac:dyDescent="0.2">
      <c r="A300" s="79" t="s">
        <v>524</v>
      </c>
      <c r="B300" s="83" t="s">
        <v>256</v>
      </c>
      <c r="C300" s="82">
        <v>0</v>
      </c>
      <c r="D300" s="82">
        <v>0</v>
      </c>
      <c r="E300" s="82">
        <v>0</v>
      </c>
      <c r="F300" s="79" t="s">
        <v>132</v>
      </c>
    </row>
    <row r="301" spans="1:6" x14ac:dyDescent="0.2">
      <c r="A301" s="79" t="s">
        <v>524</v>
      </c>
      <c r="B301" s="79" t="s">
        <v>526</v>
      </c>
      <c r="C301" s="82">
        <v>-228466.44</v>
      </c>
      <c r="D301" s="82">
        <v>-228466.44</v>
      </c>
      <c r="E301" s="82">
        <v>0</v>
      </c>
      <c r="F301" s="79" t="s">
        <v>179</v>
      </c>
    </row>
    <row r="302" spans="1:6" x14ac:dyDescent="0.2">
      <c r="A302" s="79" t="s">
        <v>524</v>
      </c>
      <c r="B302" s="79" t="s">
        <v>527</v>
      </c>
      <c r="C302" s="82">
        <v>-978089.3</v>
      </c>
      <c r="D302" s="82">
        <v>-978089.3</v>
      </c>
      <c r="E302" s="82">
        <v>0</v>
      </c>
      <c r="F302" s="79" t="s">
        <v>179</v>
      </c>
    </row>
    <row r="303" spans="1:6" x14ac:dyDescent="0.2">
      <c r="A303" s="79" t="s">
        <v>524</v>
      </c>
      <c r="B303" s="79" t="s">
        <v>528</v>
      </c>
      <c r="C303" s="82">
        <v>-23654.41</v>
      </c>
      <c r="D303" s="82">
        <v>-23654.41</v>
      </c>
      <c r="E303" s="82">
        <v>0</v>
      </c>
      <c r="F303" s="79" t="s">
        <v>179</v>
      </c>
    </row>
    <row r="304" spans="1:6" x14ac:dyDescent="0.2">
      <c r="A304" s="79" t="s">
        <v>524</v>
      </c>
      <c r="B304" s="79" t="s">
        <v>529</v>
      </c>
      <c r="C304" s="82">
        <v>-1230210.1499999999</v>
      </c>
      <c r="D304" s="82">
        <v>-1230210.1499999999</v>
      </c>
      <c r="E304" s="82">
        <v>0</v>
      </c>
      <c r="F304" s="79" t="s">
        <v>179</v>
      </c>
    </row>
    <row r="305" spans="1:6" x14ac:dyDescent="0.2">
      <c r="A305" s="79" t="s">
        <v>524</v>
      </c>
      <c r="B305" s="83" t="s">
        <v>153</v>
      </c>
      <c r="C305" s="82">
        <v>0</v>
      </c>
      <c r="D305" s="82">
        <v>0</v>
      </c>
      <c r="E305" s="82">
        <v>0</v>
      </c>
      <c r="F305" s="79" t="s">
        <v>132</v>
      </c>
    </row>
    <row r="306" spans="1:6" x14ac:dyDescent="0.2">
      <c r="A306" s="79" t="s">
        <v>530</v>
      </c>
      <c r="B306" s="79" t="s">
        <v>531</v>
      </c>
      <c r="C306" s="82">
        <v>0</v>
      </c>
      <c r="D306" s="82">
        <v>0</v>
      </c>
      <c r="E306" s="82">
        <v>0</v>
      </c>
      <c r="F306" s="79" t="s">
        <v>132</v>
      </c>
    </row>
    <row r="307" spans="1:6" x14ac:dyDescent="0.2">
      <c r="A307" s="79" t="s">
        <v>530</v>
      </c>
      <c r="B307" s="83" t="s">
        <v>202</v>
      </c>
      <c r="C307" s="82">
        <v>0</v>
      </c>
      <c r="D307" s="82">
        <v>0</v>
      </c>
      <c r="E307" s="82">
        <v>0</v>
      </c>
      <c r="F307" s="79" t="s">
        <v>132</v>
      </c>
    </row>
    <row r="308" spans="1:6" x14ac:dyDescent="0.2">
      <c r="A308" s="79" t="s">
        <v>530</v>
      </c>
      <c r="B308" s="79" t="s">
        <v>532</v>
      </c>
      <c r="C308" s="82">
        <v>148922171.22</v>
      </c>
      <c r="D308" s="82">
        <v>162509247.34999999</v>
      </c>
      <c r="E308" s="82">
        <v>-13587076.130000001</v>
      </c>
      <c r="F308" s="79" t="s">
        <v>273</v>
      </c>
    </row>
    <row r="309" spans="1:6" x14ac:dyDescent="0.2">
      <c r="A309" s="79" t="s">
        <v>530</v>
      </c>
      <c r="B309" s="79" t="s">
        <v>132</v>
      </c>
      <c r="C309" s="82">
        <v>148922171.22</v>
      </c>
      <c r="D309" s="82">
        <v>162509247.34999999</v>
      </c>
      <c r="E309" s="82">
        <v>-13587076.130000001</v>
      </c>
      <c r="F309" s="79" t="s">
        <v>273</v>
      </c>
    </row>
    <row r="310" spans="1:6" x14ac:dyDescent="0.2">
      <c r="A310" s="79" t="s">
        <v>533</v>
      </c>
      <c r="B310" s="79" t="s">
        <v>534</v>
      </c>
      <c r="C310" s="82">
        <v>0</v>
      </c>
      <c r="D310" s="82">
        <v>0</v>
      </c>
      <c r="E310" s="82">
        <v>0</v>
      </c>
      <c r="F310" s="79" t="s">
        <v>132</v>
      </c>
    </row>
    <row r="311" spans="1:6" x14ac:dyDescent="0.2">
      <c r="A311" s="79" t="s">
        <v>533</v>
      </c>
      <c r="B311" s="83" t="s">
        <v>162</v>
      </c>
      <c r="C311" s="82">
        <v>0</v>
      </c>
      <c r="D311" s="82">
        <v>0</v>
      </c>
      <c r="E311" s="82">
        <v>0</v>
      </c>
      <c r="F311" s="79" t="s">
        <v>132</v>
      </c>
    </row>
    <row r="312" spans="1:6" x14ac:dyDescent="0.2">
      <c r="A312" s="79" t="s">
        <v>533</v>
      </c>
      <c r="B312" s="79" t="s">
        <v>535</v>
      </c>
      <c r="C312" s="82">
        <v>0</v>
      </c>
      <c r="D312" s="82">
        <v>0</v>
      </c>
      <c r="E312" s="82">
        <v>0</v>
      </c>
      <c r="F312" s="79" t="s">
        <v>132</v>
      </c>
    </row>
    <row r="313" spans="1:6" x14ac:dyDescent="0.2">
      <c r="A313" s="79" t="s">
        <v>533</v>
      </c>
      <c r="B313" s="83" t="s">
        <v>303</v>
      </c>
      <c r="C313" s="82">
        <v>0</v>
      </c>
      <c r="D313" s="82">
        <v>0</v>
      </c>
      <c r="E313" s="82">
        <v>0</v>
      </c>
      <c r="F313" s="79" t="s">
        <v>132</v>
      </c>
    </row>
    <row r="314" spans="1:6" x14ac:dyDescent="0.2">
      <c r="A314" s="79" t="s">
        <v>533</v>
      </c>
      <c r="B314" s="79" t="s">
        <v>534</v>
      </c>
      <c r="C314" s="82">
        <v>-20246589.149999999</v>
      </c>
      <c r="D314" s="82">
        <v>-13587076.130000001</v>
      </c>
      <c r="E314" s="82">
        <v>-6659513.0199999996</v>
      </c>
      <c r="F314" s="79" t="s">
        <v>536</v>
      </c>
    </row>
    <row r="315" spans="1:6" x14ac:dyDescent="0.2">
      <c r="A315" s="79" t="s">
        <v>533</v>
      </c>
      <c r="B315" s="83" t="s">
        <v>133</v>
      </c>
      <c r="C315" s="82">
        <v>0</v>
      </c>
      <c r="D315" s="82">
        <v>0</v>
      </c>
      <c r="E315" s="82">
        <v>0</v>
      </c>
      <c r="F315" s="79" t="s">
        <v>132</v>
      </c>
    </row>
    <row r="316" spans="1:6" x14ac:dyDescent="0.2">
      <c r="A316" s="79" t="s">
        <v>537</v>
      </c>
      <c r="B316" s="79" t="s">
        <v>538</v>
      </c>
      <c r="C316" s="82">
        <v>0</v>
      </c>
      <c r="D316" s="82">
        <v>0</v>
      </c>
      <c r="E316" s="82">
        <v>0</v>
      </c>
      <c r="F316" s="79" t="s">
        <v>132</v>
      </c>
    </row>
    <row r="317" spans="1:6" x14ac:dyDescent="0.2">
      <c r="A317" s="79" t="s">
        <v>537</v>
      </c>
      <c r="B317" s="79" t="s">
        <v>539</v>
      </c>
      <c r="C317" s="82">
        <v>0</v>
      </c>
      <c r="D317" s="82">
        <v>0</v>
      </c>
      <c r="E317" s="82">
        <v>0</v>
      </c>
      <c r="F317" s="79" t="s">
        <v>132</v>
      </c>
    </row>
    <row r="318" spans="1:6" x14ac:dyDescent="0.2">
      <c r="A318" s="79" t="s">
        <v>537</v>
      </c>
      <c r="B318" s="83" t="s">
        <v>147</v>
      </c>
      <c r="C318" s="82">
        <v>0</v>
      </c>
      <c r="D318" s="82">
        <v>0</v>
      </c>
      <c r="E318" s="82">
        <v>0</v>
      </c>
      <c r="F318" s="79" t="s">
        <v>132</v>
      </c>
    </row>
    <row r="319" spans="1:6" x14ac:dyDescent="0.2">
      <c r="A319" s="79" t="s">
        <v>537</v>
      </c>
      <c r="B319" s="79" t="s">
        <v>540</v>
      </c>
      <c r="C319" s="82">
        <v>-21263168.969999999</v>
      </c>
      <c r="D319" s="82">
        <v>-41509758.119999997</v>
      </c>
      <c r="E319" s="82">
        <v>20246589.149999999</v>
      </c>
      <c r="F319" s="79" t="s">
        <v>541</v>
      </c>
    </row>
    <row r="320" spans="1:6" x14ac:dyDescent="0.2">
      <c r="A320" s="79" t="s">
        <v>537</v>
      </c>
      <c r="B320" s="79" t="s">
        <v>132</v>
      </c>
      <c r="C320" s="82">
        <v>-21263168.969999999</v>
      </c>
      <c r="D320" s="82">
        <v>-41509758.119999997</v>
      </c>
      <c r="E320" s="82">
        <v>20246589.149999999</v>
      </c>
      <c r="F320" s="79" t="s">
        <v>541</v>
      </c>
    </row>
    <row r="321" spans="1:6" x14ac:dyDescent="0.2">
      <c r="A321" s="79" t="s">
        <v>518</v>
      </c>
      <c r="B321" s="79" t="s">
        <v>542</v>
      </c>
      <c r="C321" s="82">
        <v>0</v>
      </c>
      <c r="D321" s="82">
        <v>0</v>
      </c>
      <c r="E321" s="82">
        <v>0</v>
      </c>
      <c r="F321" s="79" t="s">
        <v>132</v>
      </c>
    </row>
    <row r="322" spans="1:6" x14ac:dyDescent="0.2">
      <c r="A322" s="79" t="s">
        <v>518</v>
      </c>
      <c r="B322" s="83" t="s">
        <v>543</v>
      </c>
      <c r="C322" s="82">
        <v>0</v>
      </c>
      <c r="D322" s="82">
        <v>0</v>
      </c>
      <c r="E322" s="82">
        <v>0</v>
      </c>
      <c r="F322" s="79" t="s">
        <v>132</v>
      </c>
    </row>
    <row r="323" spans="1:6" x14ac:dyDescent="0.2">
      <c r="A323" s="79" t="s">
        <v>544</v>
      </c>
      <c r="B323" s="79" t="s">
        <v>545</v>
      </c>
      <c r="C323" s="82">
        <v>0</v>
      </c>
      <c r="D323" s="82">
        <v>0</v>
      </c>
      <c r="E323" s="82">
        <v>0</v>
      </c>
      <c r="F323" s="79" t="s">
        <v>132</v>
      </c>
    </row>
    <row r="324" spans="1:6" x14ac:dyDescent="0.2">
      <c r="A324" s="79" t="s">
        <v>544</v>
      </c>
      <c r="B324" s="79" t="s">
        <v>19</v>
      </c>
      <c r="C324" s="82">
        <v>0</v>
      </c>
      <c r="D324" s="82">
        <v>0</v>
      </c>
      <c r="E324" s="82">
        <v>0</v>
      </c>
      <c r="F324" s="79" t="s">
        <v>132</v>
      </c>
    </row>
    <row r="325" spans="1:6" x14ac:dyDescent="0.2">
      <c r="A325" s="79" t="s">
        <v>544</v>
      </c>
      <c r="B325" s="79" t="s">
        <v>546</v>
      </c>
      <c r="C325" s="82">
        <v>-5588464.8700000001</v>
      </c>
      <c r="D325" s="82">
        <v>-5803405.8700000001</v>
      </c>
      <c r="E325" s="82">
        <v>214941</v>
      </c>
      <c r="F325" s="79" t="s">
        <v>547</v>
      </c>
    </row>
    <row r="326" spans="1:6" x14ac:dyDescent="0.2">
      <c r="A326" s="79" t="s">
        <v>544</v>
      </c>
      <c r="B326" s="79" t="s">
        <v>548</v>
      </c>
      <c r="C326" s="82">
        <v>-16868904.239999998</v>
      </c>
      <c r="D326" s="82">
        <v>-19109216.719999999</v>
      </c>
      <c r="E326" s="82">
        <v>2240312.48</v>
      </c>
      <c r="F326" s="79" t="s">
        <v>549</v>
      </c>
    </row>
    <row r="327" spans="1:6" x14ac:dyDescent="0.2">
      <c r="A327" s="79" t="s">
        <v>544</v>
      </c>
      <c r="B327" s="79" t="s">
        <v>550</v>
      </c>
      <c r="C327" s="82">
        <v>-717969.97</v>
      </c>
      <c r="D327" s="82">
        <v>-768060.85</v>
      </c>
      <c r="E327" s="82">
        <v>50090.879999999997</v>
      </c>
      <c r="F327" s="79" t="s">
        <v>551</v>
      </c>
    </row>
    <row r="328" spans="1:6" x14ac:dyDescent="0.2">
      <c r="A328" s="79" t="s">
        <v>544</v>
      </c>
      <c r="B328" s="79" t="s">
        <v>552</v>
      </c>
      <c r="C328" s="82">
        <v>-23175339.079999998</v>
      </c>
      <c r="D328" s="82">
        <v>-25680683.440000001</v>
      </c>
      <c r="E328" s="82">
        <v>2505344.36</v>
      </c>
      <c r="F328" s="79" t="s">
        <v>553</v>
      </c>
    </row>
    <row r="329" spans="1:6" x14ac:dyDescent="0.2">
      <c r="A329" s="79" t="s">
        <v>544</v>
      </c>
      <c r="B329" s="79" t="s">
        <v>554</v>
      </c>
      <c r="C329" s="82">
        <v>0</v>
      </c>
      <c r="D329" s="82">
        <v>0</v>
      </c>
      <c r="E329" s="82">
        <v>0</v>
      </c>
      <c r="F329" s="79" t="s">
        <v>132</v>
      </c>
    </row>
    <row r="330" spans="1:6" x14ac:dyDescent="0.2">
      <c r="A330" s="79" t="s">
        <v>544</v>
      </c>
      <c r="B330" s="83" t="s">
        <v>312</v>
      </c>
      <c r="C330" s="82">
        <v>0</v>
      </c>
      <c r="D330" s="82">
        <v>0</v>
      </c>
      <c r="E330" s="82">
        <v>0</v>
      </c>
      <c r="F330" s="79" t="s">
        <v>132</v>
      </c>
    </row>
    <row r="331" spans="1:6" x14ac:dyDescent="0.2">
      <c r="A331" s="79" t="s">
        <v>555</v>
      </c>
      <c r="B331" s="79" t="s">
        <v>556</v>
      </c>
      <c r="C331" s="82">
        <v>0</v>
      </c>
      <c r="D331" s="82">
        <v>0</v>
      </c>
      <c r="E331" s="82">
        <v>0</v>
      </c>
      <c r="F331" s="79" t="s">
        <v>132</v>
      </c>
    </row>
    <row r="332" spans="1:6" x14ac:dyDescent="0.2">
      <c r="A332" s="79" t="s">
        <v>555</v>
      </c>
      <c r="B332" s="83" t="s">
        <v>202</v>
      </c>
      <c r="C332" s="82">
        <v>0</v>
      </c>
      <c r="D332" s="82">
        <v>0</v>
      </c>
      <c r="E332" s="82">
        <v>0</v>
      </c>
      <c r="F332" s="79" t="s">
        <v>132</v>
      </c>
    </row>
    <row r="333" spans="1:6" x14ac:dyDescent="0.2">
      <c r="A333" s="79" t="s">
        <v>557</v>
      </c>
      <c r="B333" s="79" t="s">
        <v>558</v>
      </c>
      <c r="C333" s="82">
        <v>-16466666.4</v>
      </c>
      <c r="D333" s="82">
        <v>-17416666.399999999</v>
      </c>
      <c r="E333" s="82">
        <v>950000</v>
      </c>
      <c r="F333" s="79" t="s">
        <v>559</v>
      </c>
    </row>
    <row r="334" spans="1:6" x14ac:dyDescent="0.2">
      <c r="A334" s="79" t="s">
        <v>557</v>
      </c>
      <c r="B334" s="79" t="s">
        <v>560</v>
      </c>
      <c r="C334" s="82">
        <v>-16864134.050000001</v>
      </c>
      <c r="D334" s="82">
        <v>-17989210.850000001</v>
      </c>
      <c r="E334" s="82">
        <v>1125076.8</v>
      </c>
      <c r="F334" s="79" t="s">
        <v>561</v>
      </c>
    </row>
    <row r="335" spans="1:6" x14ac:dyDescent="0.2">
      <c r="A335" s="79" t="s">
        <v>555</v>
      </c>
      <c r="B335" s="79" t="s">
        <v>562</v>
      </c>
      <c r="C335" s="82">
        <v>-33330800.449999999</v>
      </c>
      <c r="D335" s="82">
        <v>-35405877.25</v>
      </c>
      <c r="E335" s="82">
        <v>2075076.8</v>
      </c>
      <c r="F335" s="79" t="s">
        <v>563</v>
      </c>
    </row>
    <row r="336" spans="1:6" x14ac:dyDescent="0.2">
      <c r="A336" s="79" t="s">
        <v>555</v>
      </c>
      <c r="B336" s="83" t="s">
        <v>504</v>
      </c>
      <c r="C336" s="82">
        <v>0</v>
      </c>
      <c r="D336" s="82">
        <v>0</v>
      </c>
      <c r="E336" s="82">
        <v>0</v>
      </c>
      <c r="F336" s="79" t="s">
        <v>132</v>
      </c>
    </row>
    <row r="337" spans="1:6" x14ac:dyDescent="0.2">
      <c r="A337" s="79" t="s">
        <v>564</v>
      </c>
      <c r="B337" s="79" t="s">
        <v>565</v>
      </c>
      <c r="C337" s="82">
        <v>0</v>
      </c>
      <c r="D337" s="82">
        <v>0</v>
      </c>
      <c r="E337" s="82">
        <v>0</v>
      </c>
      <c r="F337" s="79" t="s">
        <v>132</v>
      </c>
    </row>
    <row r="338" spans="1:6" x14ac:dyDescent="0.2">
      <c r="A338" s="79" t="s">
        <v>564</v>
      </c>
      <c r="B338" s="83" t="s">
        <v>566</v>
      </c>
      <c r="C338" s="82">
        <v>0</v>
      </c>
      <c r="D338" s="82">
        <v>0</v>
      </c>
      <c r="E338" s="82">
        <v>0</v>
      </c>
      <c r="F338" s="79" t="s">
        <v>132</v>
      </c>
    </row>
    <row r="339" spans="1:6" x14ac:dyDescent="0.2">
      <c r="A339" s="79" t="s">
        <v>567</v>
      </c>
      <c r="B339" s="79" t="s">
        <v>568</v>
      </c>
      <c r="C339" s="82">
        <v>0</v>
      </c>
      <c r="D339" s="82">
        <v>0</v>
      </c>
      <c r="E339" s="82">
        <v>0</v>
      </c>
      <c r="F339" s="79" t="s">
        <v>132</v>
      </c>
    </row>
    <row r="340" spans="1:6" x14ac:dyDescent="0.2">
      <c r="A340" s="79" t="s">
        <v>567</v>
      </c>
      <c r="B340" s="79" t="s">
        <v>569</v>
      </c>
      <c r="C340" s="82">
        <v>0</v>
      </c>
      <c r="D340" s="82">
        <v>0</v>
      </c>
      <c r="E340" s="82">
        <v>0</v>
      </c>
      <c r="F340" s="79" t="s">
        <v>132</v>
      </c>
    </row>
    <row r="341" spans="1:6" x14ac:dyDescent="0.2">
      <c r="A341" s="79" t="s">
        <v>567</v>
      </c>
      <c r="B341" s="83" t="s">
        <v>570</v>
      </c>
      <c r="C341" s="82">
        <v>0</v>
      </c>
      <c r="D341" s="82">
        <v>0</v>
      </c>
      <c r="E341" s="82">
        <v>0</v>
      </c>
      <c r="F341" s="79" t="s">
        <v>132</v>
      </c>
    </row>
    <row r="342" spans="1:6" x14ac:dyDescent="0.2">
      <c r="A342" s="79" t="s">
        <v>567</v>
      </c>
      <c r="B342" s="79" t="s">
        <v>571</v>
      </c>
      <c r="C342" s="82">
        <v>-6720852</v>
      </c>
      <c r="D342" s="82">
        <v>-7409239</v>
      </c>
      <c r="E342" s="82">
        <v>688387</v>
      </c>
      <c r="F342" s="79" t="s">
        <v>572</v>
      </c>
    </row>
    <row r="343" spans="1:6" x14ac:dyDescent="0.2">
      <c r="A343" s="79" t="s">
        <v>567</v>
      </c>
      <c r="B343" s="79" t="s">
        <v>573</v>
      </c>
      <c r="C343" s="82">
        <v>-205916</v>
      </c>
      <c r="D343" s="82">
        <v>-232814</v>
      </c>
      <c r="E343" s="82">
        <v>26898</v>
      </c>
      <c r="F343" s="79" t="s">
        <v>486</v>
      </c>
    </row>
    <row r="344" spans="1:6" x14ac:dyDescent="0.2">
      <c r="A344" s="79" t="s">
        <v>567</v>
      </c>
      <c r="B344" s="79" t="s">
        <v>132</v>
      </c>
      <c r="C344" s="82">
        <v>-6926768</v>
      </c>
      <c r="D344" s="82">
        <v>-7642053</v>
      </c>
      <c r="E344" s="82">
        <v>715285</v>
      </c>
      <c r="F344" s="79" t="s">
        <v>574</v>
      </c>
    </row>
    <row r="345" spans="1:6" x14ac:dyDescent="0.2">
      <c r="A345" s="79" t="s">
        <v>575</v>
      </c>
      <c r="B345" s="79" t="s">
        <v>33</v>
      </c>
      <c r="C345" s="82">
        <v>0</v>
      </c>
      <c r="D345" s="82">
        <v>0</v>
      </c>
      <c r="E345" s="82">
        <v>0</v>
      </c>
      <c r="F345" s="79" t="s">
        <v>132</v>
      </c>
    </row>
    <row r="346" spans="1:6" x14ac:dyDescent="0.2">
      <c r="A346" s="79" t="s">
        <v>575</v>
      </c>
      <c r="B346" s="83" t="s">
        <v>136</v>
      </c>
      <c r="C346" s="82">
        <v>0</v>
      </c>
      <c r="D346" s="82">
        <v>0</v>
      </c>
      <c r="E346" s="82">
        <v>0</v>
      </c>
      <c r="F346" s="79" t="s">
        <v>132</v>
      </c>
    </row>
    <row r="347" spans="1:6" x14ac:dyDescent="0.2">
      <c r="A347" s="79" t="s">
        <v>575</v>
      </c>
      <c r="B347" s="79" t="s">
        <v>576</v>
      </c>
      <c r="C347" s="82">
        <v>-236939</v>
      </c>
      <c r="D347" s="82">
        <v>-159189</v>
      </c>
      <c r="E347" s="82">
        <v>-77750</v>
      </c>
      <c r="F347" s="79" t="s">
        <v>512</v>
      </c>
    </row>
    <row r="348" spans="1:6" x14ac:dyDescent="0.2">
      <c r="A348" s="79" t="s">
        <v>575</v>
      </c>
      <c r="B348" s="79" t="s">
        <v>577</v>
      </c>
      <c r="C348" s="82">
        <v>-145231.67000000001</v>
      </c>
      <c r="D348" s="82">
        <v>-57976.84</v>
      </c>
      <c r="E348" s="82">
        <v>-87254.83</v>
      </c>
      <c r="F348" s="79" t="s">
        <v>578</v>
      </c>
    </row>
    <row r="349" spans="1:6" x14ac:dyDescent="0.2">
      <c r="A349" s="79" t="s">
        <v>575</v>
      </c>
      <c r="B349" s="79" t="s">
        <v>132</v>
      </c>
      <c r="C349" s="82">
        <v>-382170.67</v>
      </c>
      <c r="D349" s="82">
        <v>-217165.84</v>
      </c>
      <c r="E349" s="82">
        <v>-165004.82999999999</v>
      </c>
      <c r="F349" s="79" t="s">
        <v>1556</v>
      </c>
    </row>
    <row r="350" spans="1:6" x14ac:dyDescent="0.2">
      <c r="A350" s="79" t="s">
        <v>579</v>
      </c>
      <c r="B350" s="79" t="s">
        <v>34</v>
      </c>
      <c r="C350" s="82">
        <v>0</v>
      </c>
      <c r="D350" s="82">
        <v>0</v>
      </c>
      <c r="E350" s="82">
        <v>0</v>
      </c>
      <c r="F350" s="79" t="s">
        <v>132</v>
      </c>
    </row>
    <row r="351" spans="1:6" x14ac:dyDescent="0.2">
      <c r="A351" s="79" t="s">
        <v>579</v>
      </c>
      <c r="B351" s="83" t="s">
        <v>253</v>
      </c>
      <c r="C351" s="82">
        <v>0</v>
      </c>
      <c r="D351" s="82">
        <v>0</v>
      </c>
      <c r="E351" s="82">
        <v>0</v>
      </c>
      <c r="F351" s="79" t="s">
        <v>132</v>
      </c>
    </row>
    <row r="352" spans="1:6" x14ac:dyDescent="0.2">
      <c r="A352" s="79" t="s">
        <v>580</v>
      </c>
      <c r="B352" s="79" t="s">
        <v>581</v>
      </c>
      <c r="C352" s="82">
        <v>-1367048.68</v>
      </c>
      <c r="D352" s="82">
        <v>-1371848.68</v>
      </c>
      <c r="E352" s="82">
        <v>4800</v>
      </c>
      <c r="F352" s="79" t="s">
        <v>582</v>
      </c>
    </row>
    <row r="353" spans="1:6" x14ac:dyDescent="0.2">
      <c r="A353" s="79" t="s">
        <v>580</v>
      </c>
      <c r="B353" s="79" t="s">
        <v>583</v>
      </c>
      <c r="C353" s="82">
        <v>-2435430.0099999998</v>
      </c>
      <c r="D353" s="82">
        <v>-2971906.66</v>
      </c>
      <c r="E353" s="82">
        <v>536476.65</v>
      </c>
      <c r="F353" s="79" t="s">
        <v>584</v>
      </c>
    </row>
    <row r="354" spans="1:6" x14ac:dyDescent="0.2">
      <c r="A354" s="79" t="s">
        <v>580</v>
      </c>
      <c r="B354" s="79" t="s">
        <v>585</v>
      </c>
      <c r="C354" s="82">
        <v>-3802478.69</v>
      </c>
      <c r="D354" s="82">
        <v>-4343755.34</v>
      </c>
      <c r="E354" s="82">
        <v>541276.65</v>
      </c>
      <c r="F354" s="79" t="s">
        <v>586</v>
      </c>
    </row>
    <row r="355" spans="1:6" x14ac:dyDescent="0.2">
      <c r="A355" s="79" t="s">
        <v>587</v>
      </c>
      <c r="B355" s="79" t="s">
        <v>588</v>
      </c>
      <c r="C355" s="82">
        <v>-245094.48</v>
      </c>
      <c r="D355" s="82">
        <v>-245731.39</v>
      </c>
      <c r="E355" s="82">
        <v>636.91</v>
      </c>
      <c r="F355" s="79" t="s">
        <v>582</v>
      </c>
    </row>
    <row r="356" spans="1:6" x14ac:dyDescent="0.2">
      <c r="A356" s="79" t="s">
        <v>587</v>
      </c>
      <c r="B356" s="79" t="s">
        <v>589</v>
      </c>
      <c r="C356" s="82">
        <v>-385349.17</v>
      </c>
      <c r="D356" s="82">
        <v>-353161.26</v>
      </c>
      <c r="E356" s="82">
        <v>-32187.91</v>
      </c>
      <c r="F356" s="79" t="s">
        <v>590</v>
      </c>
    </row>
    <row r="357" spans="1:6" x14ac:dyDescent="0.2">
      <c r="A357" s="79" t="s">
        <v>587</v>
      </c>
      <c r="B357" s="79" t="s">
        <v>591</v>
      </c>
      <c r="C357" s="82">
        <v>-3617224.92</v>
      </c>
      <c r="D357" s="82">
        <v>-2811502.55</v>
      </c>
      <c r="E357" s="82">
        <v>-805722.37</v>
      </c>
      <c r="F357" s="79" t="s">
        <v>592</v>
      </c>
    </row>
    <row r="358" spans="1:6" x14ac:dyDescent="0.2">
      <c r="A358" s="79" t="s">
        <v>587</v>
      </c>
      <c r="B358" s="79" t="s">
        <v>593</v>
      </c>
      <c r="C358" s="82">
        <v>-3810661.11</v>
      </c>
      <c r="D358" s="82">
        <v>-3510803.84</v>
      </c>
      <c r="E358" s="82">
        <v>-299857.27</v>
      </c>
      <c r="F358" s="79" t="s">
        <v>420</v>
      </c>
    </row>
    <row r="359" spans="1:6" x14ac:dyDescent="0.2">
      <c r="A359" s="79" t="s">
        <v>587</v>
      </c>
      <c r="B359" s="79" t="s">
        <v>594</v>
      </c>
      <c r="C359" s="82">
        <v>-402846.96</v>
      </c>
      <c r="D359" s="82">
        <v>-357500</v>
      </c>
      <c r="E359" s="82">
        <v>-45346.96</v>
      </c>
      <c r="F359" s="79" t="s">
        <v>595</v>
      </c>
    </row>
    <row r="360" spans="1:6" x14ac:dyDescent="0.2">
      <c r="A360" s="79" t="s">
        <v>587</v>
      </c>
      <c r="B360" s="79" t="s">
        <v>596</v>
      </c>
      <c r="C360" s="82">
        <v>-116400</v>
      </c>
      <c r="D360" s="82">
        <v>-122000</v>
      </c>
      <c r="E360" s="82">
        <v>5600</v>
      </c>
      <c r="F360" s="79" t="s">
        <v>597</v>
      </c>
    </row>
    <row r="361" spans="1:6" x14ac:dyDescent="0.2">
      <c r="A361" s="79" t="s">
        <v>587</v>
      </c>
      <c r="B361" s="79" t="s">
        <v>598</v>
      </c>
      <c r="C361" s="82">
        <v>-1045904.25</v>
      </c>
      <c r="D361" s="82">
        <v>-1267182</v>
      </c>
      <c r="E361" s="82">
        <v>221277.75</v>
      </c>
      <c r="F361" s="79" t="s">
        <v>599</v>
      </c>
    </row>
    <row r="362" spans="1:6" x14ac:dyDescent="0.2">
      <c r="A362" s="79" t="s">
        <v>587</v>
      </c>
      <c r="B362" s="79" t="s">
        <v>600</v>
      </c>
      <c r="C362" s="82">
        <v>-11554746.880000001</v>
      </c>
      <c r="D362" s="82">
        <v>-10726506.24</v>
      </c>
      <c r="E362" s="82">
        <v>-828240.64</v>
      </c>
      <c r="F362" s="79" t="s">
        <v>494</v>
      </c>
    </row>
    <row r="363" spans="1:6" x14ac:dyDescent="0.2">
      <c r="A363" s="79" t="s">
        <v>587</v>
      </c>
      <c r="B363" s="79" t="s">
        <v>601</v>
      </c>
      <c r="C363" s="82">
        <v>-513500</v>
      </c>
      <c r="D363" s="82">
        <v>-731000</v>
      </c>
      <c r="E363" s="82">
        <v>217500</v>
      </c>
      <c r="F363" s="79" t="s">
        <v>602</v>
      </c>
    </row>
    <row r="364" spans="1:6" x14ac:dyDescent="0.2">
      <c r="A364" s="79" t="s">
        <v>587</v>
      </c>
      <c r="B364" s="79" t="s">
        <v>603</v>
      </c>
      <c r="C364" s="82">
        <v>-163332.64000000001</v>
      </c>
      <c r="D364" s="82">
        <v>-568520.78</v>
      </c>
      <c r="E364" s="82">
        <v>405188.14</v>
      </c>
      <c r="F364" s="79" t="s">
        <v>604</v>
      </c>
    </row>
    <row r="365" spans="1:6" x14ac:dyDescent="0.2">
      <c r="A365" s="79" t="s">
        <v>587</v>
      </c>
      <c r="B365" s="79" t="s">
        <v>605</v>
      </c>
      <c r="C365" s="82">
        <v>-873196</v>
      </c>
      <c r="D365" s="82">
        <v>0</v>
      </c>
      <c r="E365" s="82">
        <v>-873196</v>
      </c>
      <c r="F365" s="79" t="s">
        <v>132</v>
      </c>
    </row>
    <row r="366" spans="1:6" x14ac:dyDescent="0.2">
      <c r="A366" s="79" t="s">
        <v>587</v>
      </c>
      <c r="B366" s="79" t="s">
        <v>606</v>
      </c>
      <c r="C366" s="82">
        <v>-974145</v>
      </c>
      <c r="D366" s="82">
        <v>-990740</v>
      </c>
      <c r="E366" s="82">
        <v>16595</v>
      </c>
      <c r="F366" s="79" t="s">
        <v>205</v>
      </c>
    </row>
    <row r="367" spans="1:6" x14ac:dyDescent="0.2">
      <c r="A367" s="79" t="s">
        <v>587</v>
      </c>
      <c r="B367" s="79" t="s">
        <v>607</v>
      </c>
      <c r="C367" s="82">
        <v>-162844</v>
      </c>
      <c r="D367" s="82">
        <v>-164812</v>
      </c>
      <c r="E367" s="82">
        <v>1968</v>
      </c>
      <c r="F367" s="79" t="s">
        <v>217</v>
      </c>
    </row>
    <row r="368" spans="1:6" x14ac:dyDescent="0.2">
      <c r="A368" s="79" t="s">
        <v>587</v>
      </c>
      <c r="B368" s="79" t="s">
        <v>608</v>
      </c>
      <c r="C368" s="82">
        <v>-10880421.83</v>
      </c>
      <c r="D368" s="82">
        <v>-5498843.0300000003</v>
      </c>
      <c r="E368" s="82">
        <v>-5381578.7999999998</v>
      </c>
      <c r="F368" s="79" t="s">
        <v>609</v>
      </c>
    </row>
    <row r="369" spans="1:6" x14ac:dyDescent="0.2">
      <c r="A369" s="79" t="s">
        <v>587</v>
      </c>
      <c r="B369" s="79" t="s">
        <v>610</v>
      </c>
      <c r="C369" s="82">
        <v>-9860954.4199999999</v>
      </c>
      <c r="D369" s="82">
        <v>-9597644.2699999996</v>
      </c>
      <c r="E369" s="82">
        <v>-263310.15000000002</v>
      </c>
      <c r="F369" s="79" t="s">
        <v>283</v>
      </c>
    </row>
    <row r="370" spans="1:6" x14ac:dyDescent="0.2">
      <c r="A370" s="79" t="s">
        <v>587</v>
      </c>
      <c r="B370" s="79" t="s">
        <v>611</v>
      </c>
      <c r="C370" s="82">
        <v>-125000</v>
      </c>
      <c r="D370" s="82">
        <v>-125000</v>
      </c>
      <c r="E370" s="82">
        <v>0</v>
      </c>
      <c r="F370" s="79" t="s">
        <v>179</v>
      </c>
    </row>
    <row r="371" spans="1:6" x14ac:dyDescent="0.2">
      <c r="A371" s="79" t="s">
        <v>587</v>
      </c>
      <c r="B371" s="79" t="s">
        <v>612</v>
      </c>
      <c r="C371" s="82">
        <v>-4950</v>
      </c>
      <c r="D371" s="82">
        <v>-4500</v>
      </c>
      <c r="E371" s="82">
        <v>-450</v>
      </c>
      <c r="F371" s="79" t="s">
        <v>613</v>
      </c>
    </row>
    <row r="372" spans="1:6" x14ac:dyDescent="0.2">
      <c r="A372" s="79" t="s">
        <v>587</v>
      </c>
      <c r="B372" s="79" t="s">
        <v>614</v>
      </c>
      <c r="C372" s="82">
        <v>-263000</v>
      </c>
      <c r="D372" s="82">
        <v>-266000</v>
      </c>
      <c r="E372" s="82">
        <v>3000</v>
      </c>
      <c r="F372" s="79" t="s">
        <v>615</v>
      </c>
    </row>
    <row r="373" spans="1:6" x14ac:dyDescent="0.2">
      <c r="A373" s="79" t="s">
        <v>587</v>
      </c>
      <c r="B373" s="79" t="s">
        <v>616</v>
      </c>
      <c r="C373" s="82">
        <v>-495374.7</v>
      </c>
      <c r="D373" s="82">
        <v>0</v>
      </c>
      <c r="E373" s="82">
        <v>-495374.7</v>
      </c>
      <c r="F373" s="79" t="s">
        <v>132</v>
      </c>
    </row>
    <row r="374" spans="1:6" x14ac:dyDescent="0.2">
      <c r="A374" s="79" t="s">
        <v>587</v>
      </c>
      <c r="B374" s="79" t="s">
        <v>617</v>
      </c>
      <c r="C374" s="82">
        <v>-4199711.32</v>
      </c>
      <c r="D374" s="82">
        <v>-4372105.95</v>
      </c>
      <c r="E374" s="82">
        <v>172394.63</v>
      </c>
      <c r="F374" s="79" t="s">
        <v>618</v>
      </c>
    </row>
    <row r="375" spans="1:6" x14ac:dyDescent="0.2">
      <c r="A375" s="79" t="s">
        <v>587</v>
      </c>
      <c r="B375" s="79" t="s">
        <v>132</v>
      </c>
      <c r="C375" s="82">
        <v>-49694657.68</v>
      </c>
      <c r="D375" s="82">
        <v>-41713553.310000002</v>
      </c>
      <c r="E375" s="82">
        <v>-7981104.3700000001</v>
      </c>
      <c r="F375" s="79" t="s">
        <v>619</v>
      </c>
    </row>
    <row r="376" spans="1:6" x14ac:dyDescent="0.2">
      <c r="A376" s="79" t="s">
        <v>579</v>
      </c>
      <c r="B376" s="79" t="s">
        <v>620</v>
      </c>
      <c r="C376" s="82">
        <v>-53497136.369999997</v>
      </c>
      <c r="D376" s="82">
        <v>-46057308.649999999</v>
      </c>
      <c r="E376" s="82">
        <v>-7439827.7199999997</v>
      </c>
      <c r="F376" s="79" t="s">
        <v>621</v>
      </c>
    </row>
    <row r="377" spans="1:6" x14ac:dyDescent="0.2">
      <c r="A377" s="79" t="s">
        <v>564</v>
      </c>
      <c r="B377" s="79" t="s">
        <v>622</v>
      </c>
      <c r="C377" s="82">
        <v>-60806075.039999999</v>
      </c>
      <c r="D377" s="82">
        <v>-53916527.490000002</v>
      </c>
      <c r="E377" s="82">
        <v>-6889547.5499999998</v>
      </c>
      <c r="F377" s="79" t="s">
        <v>1557</v>
      </c>
    </row>
    <row r="378" spans="1:6" x14ac:dyDescent="0.2">
      <c r="A378" s="79" t="s">
        <v>564</v>
      </c>
      <c r="B378" s="83" t="s">
        <v>153</v>
      </c>
      <c r="C378" s="82">
        <v>0</v>
      </c>
      <c r="D378" s="82">
        <v>0</v>
      </c>
      <c r="E378" s="82">
        <v>0</v>
      </c>
      <c r="F378" s="79" t="s">
        <v>132</v>
      </c>
    </row>
    <row r="379" spans="1:6" x14ac:dyDescent="0.2">
      <c r="A379" s="79" t="s">
        <v>623</v>
      </c>
      <c r="B379" s="79" t="s">
        <v>624</v>
      </c>
      <c r="C379" s="82">
        <v>0</v>
      </c>
      <c r="D379" s="82">
        <v>0</v>
      </c>
      <c r="E379" s="82">
        <v>0</v>
      </c>
      <c r="F379" s="79" t="s">
        <v>132</v>
      </c>
    </row>
    <row r="380" spans="1:6" x14ac:dyDescent="0.2">
      <c r="A380" s="79" t="s">
        <v>623</v>
      </c>
      <c r="B380" s="83" t="s">
        <v>136</v>
      </c>
      <c r="C380" s="82">
        <v>0</v>
      </c>
      <c r="D380" s="82">
        <v>0</v>
      </c>
      <c r="E380" s="82">
        <v>0</v>
      </c>
      <c r="F380" s="79" t="s">
        <v>132</v>
      </c>
    </row>
    <row r="381" spans="1:6" x14ac:dyDescent="0.2">
      <c r="A381" s="79" t="s">
        <v>625</v>
      </c>
      <c r="B381" s="79" t="s">
        <v>39</v>
      </c>
      <c r="C381" s="82">
        <v>0</v>
      </c>
      <c r="D381" s="82">
        <v>0</v>
      </c>
      <c r="E381" s="82">
        <v>0</v>
      </c>
      <c r="F381" s="79" t="s">
        <v>132</v>
      </c>
    </row>
    <row r="382" spans="1:6" x14ac:dyDescent="0.2">
      <c r="A382" s="79" t="s">
        <v>625</v>
      </c>
      <c r="B382" s="83" t="s">
        <v>507</v>
      </c>
      <c r="C382" s="82">
        <v>0</v>
      </c>
      <c r="D382" s="82">
        <v>0</v>
      </c>
      <c r="E382" s="82">
        <v>0</v>
      </c>
      <c r="F382" s="79" t="s">
        <v>132</v>
      </c>
    </row>
    <row r="383" spans="1:6" x14ac:dyDescent="0.2">
      <c r="A383" s="79" t="s">
        <v>626</v>
      </c>
      <c r="B383" s="79" t="s">
        <v>627</v>
      </c>
      <c r="C383" s="82">
        <v>0</v>
      </c>
      <c r="D383" s="82">
        <v>0</v>
      </c>
      <c r="E383" s="82">
        <v>0</v>
      </c>
      <c r="F383" s="79" t="s">
        <v>132</v>
      </c>
    </row>
    <row r="384" spans="1:6" x14ac:dyDescent="0.2">
      <c r="A384" s="79" t="s">
        <v>626</v>
      </c>
      <c r="B384" s="83" t="s">
        <v>628</v>
      </c>
      <c r="C384" s="82">
        <v>0</v>
      </c>
      <c r="D384" s="82">
        <v>0</v>
      </c>
      <c r="E384" s="82">
        <v>0</v>
      </c>
      <c r="F384" s="79" t="s">
        <v>132</v>
      </c>
    </row>
    <row r="385" spans="1:6" x14ac:dyDescent="0.2">
      <c r="A385" s="79" t="s">
        <v>626</v>
      </c>
      <c r="B385" s="79" t="s">
        <v>629</v>
      </c>
      <c r="C385" s="82">
        <v>-107500000</v>
      </c>
      <c r="D385" s="82">
        <v>-139000000</v>
      </c>
      <c r="E385" s="82">
        <v>31500000</v>
      </c>
      <c r="F385" s="79" t="s">
        <v>630</v>
      </c>
    </row>
    <row r="386" spans="1:6" x14ac:dyDescent="0.2">
      <c r="A386" s="79" t="s">
        <v>626</v>
      </c>
      <c r="B386" s="79" t="s">
        <v>631</v>
      </c>
      <c r="C386" s="82">
        <v>-457612939.55000001</v>
      </c>
      <c r="D386" s="82">
        <v>-466862446.26999998</v>
      </c>
      <c r="E386" s="82">
        <v>9249506.7200000007</v>
      </c>
      <c r="F386" s="79" t="s">
        <v>632</v>
      </c>
    </row>
    <row r="387" spans="1:6" x14ac:dyDescent="0.2">
      <c r="A387" s="79" t="s">
        <v>626</v>
      </c>
      <c r="B387" s="79" t="s">
        <v>633</v>
      </c>
      <c r="C387" s="82">
        <v>-62500000</v>
      </c>
      <c r="D387" s="82">
        <v>-125000000</v>
      </c>
      <c r="E387" s="82">
        <v>62500000</v>
      </c>
      <c r="F387" s="79" t="s">
        <v>634</v>
      </c>
    </row>
    <row r="388" spans="1:6" x14ac:dyDescent="0.2">
      <c r="A388" s="79" t="s">
        <v>626</v>
      </c>
      <c r="B388" s="79" t="s">
        <v>635</v>
      </c>
      <c r="C388" s="82">
        <v>-627612939.54999995</v>
      </c>
      <c r="D388" s="82">
        <v>-730862446.26999998</v>
      </c>
      <c r="E388" s="82">
        <v>103249506.72</v>
      </c>
      <c r="F388" s="79" t="s">
        <v>636</v>
      </c>
    </row>
    <row r="389" spans="1:6" x14ac:dyDescent="0.2">
      <c r="A389" s="79" t="s">
        <v>637</v>
      </c>
      <c r="B389" s="79" t="s">
        <v>638</v>
      </c>
      <c r="C389" s="82">
        <v>0</v>
      </c>
      <c r="D389" s="82">
        <v>0</v>
      </c>
      <c r="E389" s="82">
        <v>0</v>
      </c>
      <c r="F389" s="79" t="s">
        <v>132</v>
      </c>
    </row>
    <row r="390" spans="1:6" x14ac:dyDescent="0.2">
      <c r="A390" s="79" t="s">
        <v>637</v>
      </c>
      <c r="B390" s="83" t="s">
        <v>628</v>
      </c>
      <c r="C390" s="82">
        <v>0</v>
      </c>
      <c r="D390" s="82">
        <v>0</v>
      </c>
      <c r="E390" s="82">
        <v>0</v>
      </c>
      <c r="F390" s="79" t="s">
        <v>132</v>
      </c>
    </row>
    <row r="391" spans="1:6" x14ac:dyDescent="0.2">
      <c r="A391" s="79" t="s">
        <v>637</v>
      </c>
      <c r="B391" s="79" t="s">
        <v>639</v>
      </c>
      <c r="C391" s="82">
        <v>-3379458.33</v>
      </c>
      <c r="D391" s="82">
        <v>-4293458.33</v>
      </c>
      <c r="E391" s="82">
        <v>914000</v>
      </c>
      <c r="F391" s="79" t="s">
        <v>640</v>
      </c>
    </row>
    <row r="392" spans="1:6" x14ac:dyDescent="0.2">
      <c r="A392" s="79" t="s">
        <v>637</v>
      </c>
      <c r="B392" s="79" t="s">
        <v>641</v>
      </c>
      <c r="C392" s="82">
        <v>-3379458.33</v>
      </c>
      <c r="D392" s="82">
        <v>-4293458.33</v>
      </c>
      <c r="E392" s="82">
        <v>914000</v>
      </c>
      <c r="F392" s="79" t="s">
        <v>640</v>
      </c>
    </row>
    <row r="393" spans="1:6" x14ac:dyDescent="0.2">
      <c r="A393" s="79" t="s">
        <v>642</v>
      </c>
      <c r="B393" s="79" t="s">
        <v>643</v>
      </c>
      <c r="C393" s="82">
        <v>0</v>
      </c>
      <c r="D393" s="82">
        <v>0</v>
      </c>
      <c r="E393" s="82">
        <v>0</v>
      </c>
      <c r="F393" s="79" t="s">
        <v>132</v>
      </c>
    </row>
    <row r="394" spans="1:6" x14ac:dyDescent="0.2">
      <c r="A394" s="79" t="s">
        <v>642</v>
      </c>
      <c r="B394" s="79" t="s">
        <v>492</v>
      </c>
      <c r="C394" s="82">
        <v>0</v>
      </c>
      <c r="D394" s="82">
        <v>0</v>
      </c>
      <c r="E394" s="82">
        <v>0</v>
      </c>
      <c r="F394" s="79" t="s">
        <v>132</v>
      </c>
    </row>
    <row r="395" spans="1:6" x14ac:dyDescent="0.2">
      <c r="A395" s="79" t="s">
        <v>642</v>
      </c>
      <c r="B395" s="83" t="s">
        <v>644</v>
      </c>
      <c r="C395" s="82">
        <v>0</v>
      </c>
      <c r="D395" s="82">
        <v>0</v>
      </c>
      <c r="E395" s="82">
        <v>0</v>
      </c>
      <c r="F395" s="79" t="s">
        <v>132</v>
      </c>
    </row>
    <row r="396" spans="1:6" x14ac:dyDescent="0.2">
      <c r="A396" s="79" t="s">
        <v>645</v>
      </c>
      <c r="B396" s="79" t="s">
        <v>646</v>
      </c>
      <c r="C396" s="82">
        <v>-1720946.98</v>
      </c>
      <c r="D396" s="82">
        <v>-3533415.41</v>
      </c>
      <c r="E396" s="82">
        <v>1812468.43</v>
      </c>
      <c r="F396" s="79" t="s">
        <v>647</v>
      </c>
    </row>
    <row r="397" spans="1:6" x14ac:dyDescent="0.2">
      <c r="A397" s="79" t="s">
        <v>645</v>
      </c>
      <c r="B397" s="79" t="s">
        <v>132</v>
      </c>
      <c r="C397" s="82">
        <v>-1720946.98</v>
      </c>
      <c r="D397" s="82">
        <v>-3533415.41</v>
      </c>
      <c r="E397" s="82">
        <v>1812468.43</v>
      </c>
      <c r="F397" s="79" t="s">
        <v>647</v>
      </c>
    </row>
    <row r="398" spans="1:6" x14ac:dyDescent="0.2">
      <c r="A398" s="79" t="s">
        <v>642</v>
      </c>
      <c r="B398" s="79" t="s">
        <v>648</v>
      </c>
      <c r="C398" s="82">
        <v>-1720946.98</v>
      </c>
      <c r="D398" s="82">
        <v>-3533415.41</v>
      </c>
      <c r="E398" s="82">
        <v>1812468.43</v>
      </c>
      <c r="F398" s="79" t="s">
        <v>647</v>
      </c>
    </row>
    <row r="399" spans="1:6" x14ac:dyDescent="0.2">
      <c r="A399" s="79" t="s">
        <v>642</v>
      </c>
      <c r="B399" s="79" t="s">
        <v>492</v>
      </c>
      <c r="C399" s="82">
        <v>0</v>
      </c>
      <c r="D399" s="82">
        <v>0</v>
      </c>
      <c r="E399" s="82">
        <v>0</v>
      </c>
      <c r="F399" s="79" t="s">
        <v>132</v>
      </c>
    </row>
    <row r="400" spans="1:6" x14ac:dyDescent="0.2">
      <c r="A400" s="79" t="s">
        <v>642</v>
      </c>
      <c r="B400" s="83" t="s">
        <v>649</v>
      </c>
      <c r="C400" s="82">
        <v>0</v>
      </c>
      <c r="D400" s="82">
        <v>0</v>
      </c>
      <c r="E400" s="82">
        <v>0</v>
      </c>
      <c r="F400" s="79" t="s">
        <v>132</v>
      </c>
    </row>
    <row r="401" spans="1:6" x14ac:dyDescent="0.2">
      <c r="A401" s="79" t="s">
        <v>625</v>
      </c>
      <c r="B401" s="79" t="s">
        <v>650</v>
      </c>
      <c r="C401" s="82">
        <v>-632713344.86000001</v>
      </c>
      <c r="D401" s="82">
        <v>-738689320.00999999</v>
      </c>
      <c r="E401" s="82">
        <v>105975975.15000001</v>
      </c>
      <c r="F401" s="79" t="s">
        <v>651</v>
      </c>
    </row>
    <row r="402" spans="1:6" x14ac:dyDescent="0.2">
      <c r="A402" s="79" t="s">
        <v>625</v>
      </c>
      <c r="B402" s="79" t="s">
        <v>492</v>
      </c>
      <c r="C402" s="82">
        <v>0</v>
      </c>
      <c r="D402" s="82">
        <v>0</v>
      </c>
      <c r="E402" s="82">
        <v>0</v>
      </c>
      <c r="F402" s="79" t="s">
        <v>132</v>
      </c>
    </row>
    <row r="403" spans="1:6" x14ac:dyDescent="0.2">
      <c r="A403" s="79" t="s">
        <v>625</v>
      </c>
      <c r="B403" s="83" t="s">
        <v>220</v>
      </c>
      <c r="C403" s="82">
        <v>0</v>
      </c>
      <c r="D403" s="82">
        <v>0</v>
      </c>
      <c r="E403" s="82">
        <v>0</v>
      </c>
      <c r="F403" s="79" t="s">
        <v>132</v>
      </c>
    </row>
    <row r="404" spans="1:6" x14ac:dyDescent="0.2">
      <c r="A404" s="79" t="s">
        <v>625</v>
      </c>
      <c r="B404" s="79" t="s">
        <v>132</v>
      </c>
      <c r="C404" s="82">
        <v>-632713344.86000001</v>
      </c>
      <c r="D404" s="82">
        <v>-738689320.00999999</v>
      </c>
      <c r="E404" s="82">
        <v>105975975.15000001</v>
      </c>
      <c r="F404" s="79" t="s">
        <v>651</v>
      </c>
    </row>
    <row r="405" spans="1:6" x14ac:dyDescent="0.2">
      <c r="A405" s="79" t="s">
        <v>652</v>
      </c>
      <c r="B405" s="79" t="s">
        <v>653</v>
      </c>
      <c r="C405" s="82">
        <v>0</v>
      </c>
      <c r="D405" s="82">
        <v>0</v>
      </c>
      <c r="E405" s="82">
        <v>0</v>
      </c>
      <c r="F405" s="79" t="s">
        <v>132</v>
      </c>
    </row>
    <row r="406" spans="1:6" x14ac:dyDescent="0.2">
      <c r="A406" s="79" t="s">
        <v>652</v>
      </c>
      <c r="B406" s="83" t="s">
        <v>167</v>
      </c>
      <c r="C406" s="82">
        <v>0</v>
      </c>
      <c r="D406" s="82">
        <v>0</v>
      </c>
      <c r="E406" s="82">
        <v>0</v>
      </c>
      <c r="F406" s="79" t="s">
        <v>132</v>
      </c>
    </row>
    <row r="407" spans="1:6" x14ac:dyDescent="0.2">
      <c r="A407" s="79" t="s">
        <v>654</v>
      </c>
      <c r="B407" s="79" t="s">
        <v>655</v>
      </c>
      <c r="C407" s="82">
        <v>0</v>
      </c>
      <c r="D407" s="82">
        <v>0</v>
      </c>
      <c r="E407" s="82">
        <v>0</v>
      </c>
      <c r="F407" s="79" t="s">
        <v>132</v>
      </c>
    </row>
    <row r="408" spans="1:6" x14ac:dyDescent="0.2">
      <c r="A408" s="79" t="s">
        <v>654</v>
      </c>
      <c r="B408" s="83" t="s">
        <v>238</v>
      </c>
      <c r="C408" s="82">
        <v>0</v>
      </c>
      <c r="D408" s="82">
        <v>0</v>
      </c>
      <c r="E408" s="82">
        <v>0</v>
      </c>
      <c r="F408" s="79" t="s">
        <v>132</v>
      </c>
    </row>
    <row r="409" spans="1:6" x14ac:dyDescent="0.2">
      <c r="A409" s="79" t="s">
        <v>654</v>
      </c>
      <c r="B409" s="79" t="s">
        <v>656</v>
      </c>
      <c r="C409" s="82">
        <v>-191000000</v>
      </c>
      <c r="D409" s="82">
        <v>-123000000</v>
      </c>
      <c r="E409" s="82">
        <v>-68000000</v>
      </c>
      <c r="F409" s="79" t="s">
        <v>408</v>
      </c>
    </row>
    <row r="410" spans="1:6" x14ac:dyDescent="0.2">
      <c r="A410" s="79" t="s">
        <v>654</v>
      </c>
      <c r="B410" s="79" t="s">
        <v>657</v>
      </c>
      <c r="C410" s="82">
        <v>-481172.47999999998</v>
      </c>
      <c r="D410" s="82">
        <v>0</v>
      </c>
      <c r="E410" s="82">
        <v>-481172.47999999998</v>
      </c>
      <c r="F410" s="79" t="s">
        <v>132</v>
      </c>
    </row>
    <row r="411" spans="1:6" x14ac:dyDescent="0.2">
      <c r="A411" s="79" t="s">
        <v>654</v>
      </c>
      <c r="B411" s="79" t="s">
        <v>132</v>
      </c>
      <c r="C411" s="82">
        <v>-191481172.47999999</v>
      </c>
      <c r="D411" s="82">
        <v>-123000000</v>
      </c>
      <c r="E411" s="82">
        <v>-68481172.480000004</v>
      </c>
      <c r="F411" s="79" t="s">
        <v>658</v>
      </c>
    </row>
    <row r="412" spans="1:6" x14ac:dyDescent="0.2">
      <c r="A412" s="79" t="s">
        <v>652</v>
      </c>
      <c r="B412" s="79" t="s">
        <v>653</v>
      </c>
      <c r="C412" s="82">
        <v>-191481172.47999999</v>
      </c>
      <c r="D412" s="82">
        <v>-123000000</v>
      </c>
      <c r="E412" s="82">
        <v>-68481172.480000004</v>
      </c>
      <c r="F412" s="79" t="s">
        <v>658</v>
      </c>
    </row>
    <row r="413" spans="1:6" x14ac:dyDescent="0.2">
      <c r="A413" s="79" t="s">
        <v>652</v>
      </c>
      <c r="B413" s="83" t="s">
        <v>386</v>
      </c>
      <c r="C413" s="82">
        <v>0</v>
      </c>
      <c r="D413" s="82">
        <v>0</v>
      </c>
      <c r="E413" s="82">
        <v>0</v>
      </c>
      <c r="F413" s="79" t="s">
        <v>132</v>
      </c>
    </row>
    <row r="414" spans="1:6" x14ac:dyDescent="0.2">
      <c r="A414" s="79" t="s">
        <v>659</v>
      </c>
      <c r="B414" s="79" t="s">
        <v>660</v>
      </c>
      <c r="C414" s="82">
        <v>0</v>
      </c>
      <c r="D414" s="82">
        <v>0</v>
      </c>
      <c r="E414" s="82">
        <v>0</v>
      </c>
      <c r="F414" s="79" t="s">
        <v>132</v>
      </c>
    </row>
    <row r="415" spans="1:6" x14ac:dyDescent="0.2">
      <c r="A415" s="79" t="s">
        <v>659</v>
      </c>
      <c r="B415" s="79" t="s">
        <v>661</v>
      </c>
      <c r="C415" s="82">
        <v>0</v>
      </c>
      <c r="D415" s="82">
        <v>0</v>
      </c>
      <c r="E415" s="82">
        <v>0</v>
      </c>
      <c r="F415" s="79" t="s">
        <v>132</v>
      </c>
    </row>
    <row r="416" spans="1:6" x14ac:dyDescent="0.2">
      <c r="A416" s="79" t="s">
        <v>659</v>
      </c>
      <c r="B416" s="83" t="s">
        <v>220</v>
      </c>
      <c r="C416" s="82">
        <v>0</v>
      </c>
      <c r="D416" s="82">
        <v>0</v>
      </c>
      <c r="E416" s="82">
        <v>0</v>
      </c>
      <c r="F416" s="79" t="s">
        <v>132</v>
      </c>
    </row>
    <row r="417" spans="1:6" x14ac:dyDescent="0.2">
      <c r="A417" s="79" t="s">
        <v>662</v>
      </c>
      <c r="B417" s="79" t="s">
        <v>663</v>
      </c>
      <c r="C417" s="82">
        <v>-9333330.8100000005</v>
      </c>
      <c r="D417" s="82">
        <v>-8164137.2199999997</v>
      </c>
      <c r="E417" s="82">
        <v>-1169193.5900000001</v>
      </c>
      <c r="F417" s="79" t="s">
        <v>664</v>
      </c>
    </row>
    <row r="418" spans="1:6" x14ac:dyDescent="0.2">
      <c r="A418" s="79" t="s">
        <v>662</v>
      </c>
      <c r="B418" s="79" t="s">
        <v>665</v>
      </c>
      <c r="C418" s="82">
        <v>-562534.32999999996</v>
      </c>
      <c r="D418" s="82">
        <v>-1211923.42</v>
      </c>
      <c r="E418" s="82">
        <v>649389.09</v>
      </c>
      <c r="F418" s="79" t="s">
        <v>666</v>
      </c>
    </row>
    <row r="419" spans="1:6" x14ac:dyDescent="0.2">
      <c r="A419" s="79" t="s">
        <v>662</v>
      </c>
      <c r="B419" s="79" t="s">
        <v>667</v>
      </c>
      <c r="C419" s="82">
        <v>-201.32</v>
      </c>
      <c r="D419" s="82">
        <v>-429.76</v>
      </c>
      <c r="E419" s="82">
        <v>228.44</v>
      </c>
      <c r="F419" s="79" t="s">
        <v>668</v>
      </c>
    </row>
    <row r="420" spans="1:6" x14ac:dyDescent="0.2">
      <c r="A420" s="79" t="s">
        <v>662</v>
      </c>
      <c r="B420" s="79" t="s">
        <v>669</v>
      </c>
      <c r="C420" s="82">
        <v>-716</v>
      </c>
      <c r="D420" s="82">
        <v>0</v>
      </c>
      <c r="E420" s="82">
        <v>-716</v>
      </c>
      <c r="F420" s="79" t="s">
        <v>132</v>
      </c>
    </row>
    <row r="421" spans="1:6" x14ac:dyDescent="0.2">
      <c r="A421" s="79" t="s">
        <v>662</v>
      </c>
      <c r="B421" s="79" t="s">
        <v>670</v>
      </c>
      <c r="C421" s="82">
        <v>-36316.550000000003</v>
      </c>
      <c r="D421" s="82">
        <v>2052.85</v>
      </c>
      <c r="E421" s="82">
        <v>-38369.4</v>
      </c>
      <c r="F421" s="79" t="s">
        <v>671</v>
      </c>
    </row>
    <row r="422" spans="1:6" x14ac:dyDescent="0.2">
      <c r="A422" s="79" t="s">
        <v>662</v>
      </c>
      <c r="B422" s="79" t="s">
        <v>672</v>
      </c>
      <c r="C422" s="82">
        <v>-9933099.0099999998</v>
      </c>
      <c r="D422" s="82">
        <v>-9374437.5500000007</v>
      </c>
      <c r="E422" s="82">
        <v>-558661.46</v>
      </c>
      <c r="F422" s="79" t="s">
        <v>673</v>
      </c>
    </row>
    <row r="423" spans="1:6" x14ac:dyDescent="0.2">
      <c r="A423" s="79" t="s">
        <v>662</v>
      </c>
      <c r="B423" s="79" t="s">
        <v>674</v>
      </c>
      <c r="C423" s="82">
        <v>0</v>
      </c>
      <c r="D423" s="82">
        <v>0</v>
      </c>
      <c r="E423" s="82">
        <v>0</v>
      </c>
      <c r="F423" s="79" t="s">
        <v>132</v>
      </c>
    </row>
    <row r="424" spans="1:6" x14ac:dyDescent="0.2">
      <c r="A424" s="79" t="s">
        <v>659</v>
      </c>
      <c r="B424" s="79" t="s">
        <v>675</v>
      </c>
      <c r="C424" s="82">
        <v>-9933099.0099999998</v>
      </c>
      <c r="D424" s="82">
        <v>-9374437.5500000007</v>
      </c>
      <c r="E424" s="82">
        <v>-558661.46</v>
      </c>
      <c r="F424" s="79" t="s">
        <v>673</v>
      </c>
    </row>
    <row r="425" spans="1:6" x14ac:dyDescent="0.2">
      <c r="A425" s="79" t="s">
        <v>659</v>
      </c>
      <c r="B425" s="79" t="s">
        <v>661</v>
      </c>
      <c r="C425" s="82">
        <v>0</v>
      </c>
      <c r="D425" s="82">
        <v>0</v>
      </c>
      <c r="E425" s="82">
        <v>0</v>
      </c>
      <c r="F425" s="79" t="s">
        <v>132</v>
      </c>
    </row>
    <row r="426" spans="1:6" x14ac:dyDescent="0.2">
      <c r="A426" s="79" t="s">
        <v>659</v>
      </c>
      <c r="B426" s="83" t="s">
        <v>210</v>
      </c>
      <c r="C426" s="82">
        <v>0</v>
      </c>
      <c r="D426" s="82">
        <v>0</v>
      </c>
      <c r="E426" s="82">
        <v>0</v>
      </c>
      <c r="F426" s="79" t="s">
        <v>132</v>
      </c>
    </row>
    <row r="427" spans="1:6" x14ac:dyDescent="0.2">
      <c r="A427" s="79" t="s">
        <v>676</v>
      </c>
      <c r="B427" s="79" t="s">
        <v>103</v>
      </c>
      <c r="C427" s="82">
        <v>0</v>
      </c>
      <c r="D427" s="82">
        <v>0</v>
      </c>
      <c r="E427" s="82">
        <v>0</v>
      </c>
      <c r="F427" s="79" t="s">
        <v>132</v>
      </c>
    </row>
    <row r="428" spans="1:6" x14ac:dyDescent="0.2">
      <c r="A428" s="79" t="s">
        <v>676</v>
      </c>
      <c r="B428" s="83" t="s">
        <v>309</v>
      </c>
      <c r="C428" s="82">
        <v>0</v>
      </c>
      <c r="D428" s="82">
        <v>0</v>
      </c>
      <c r="E428" s="82">
        <v>0</v>
      </c>
      <c r="F428" s="79" t="s">
        <v>132</v>
      </c>
    </row>
    <row r="429" spans="1:6" x14ac:dyDescent="0.2">
      <c r="A429" s="79" t="s">
        <v>677</v>
      </c>
      <c r="B429" s="79" t="s">
        <v>678</v>
      </c>
      <c r="C429" s="82">
        <v>0</v>
      </c>
      <c r="D429" s="82">
        <v>0</v>
      </c>
      <c r="E429" s="82">
        <v>0</v>
      </c>
      <c r="F429" s="79" t="s">
        <v>132</v>
      </c>
    </row>
    <row r="430" spans="1:6" x14ac:dyDescent="0.2">
      <c r="A430" s="79" t="s">
        <v>677</v>
      </c>
      <c r="B430" s="83" t="s">
        <v>423</v>
      </c>
      <c r="C430" s="82">
        <v>0</v>
      </c>
      <c r="D430" s="82">
        <v>0</v>
      </c>
      <c r="E430" s="82">
        <v>0</v>
      </c>
      <c r="F430" s="79" t="s">
        <v>132</v>
      </c>
    </row>
    <row r="431" spans="1:6" x14ac:dyDescent="0.2">
      <c r="A431" s="79" t="s">
        <v>677</v>
      </c>
      <c r="B431" s="79" t="s">
        <v>679</v>
      </c>
      <c r="C431" s="82">
        <v>-65260388.630000003</v>
      </c>
      <c r="D431" s="82">
        <v>-61684942.289999999</v>
      </c>
      <c r="E431" s="82">
        <v>-3575446.34</v>
      </c>
      <c r="F431" s="79" t="s">
        <v>680</v>
      </c>
    </row>
    <row r="432" spans="1:6" x14ac:dyDescent="0.2">
      <c r="A432" s="79" t="s">
        <v>677</v>
      </c>
      <c r="B432" s="79" t="s">
        <v>681</v>
      </c>
      <c r="C432" s="82">
        <v>-65260388.630000003</v>
      </c>
      <c r="D432" s="82">
        <v>-61684942.289999999</v>
      </c>
      <c r="E432" s="82">
        <v>-3575446.34</v>
      </c>
      <c r="F432" s="79" t="s">
        <v>680</v>
      </c>
    </row>
    <row r="433" spans="1:6" x14ac:dyDescent="0.2">
      <c r="A433" s="79" t="s">
        <v>677</v>
      </c>
      <c r="B433" s="79" t="s">
        <v>132</v>
      </c>
      <c r="C433" s="82">
        <v>-130520777.26000001</v>
      </c>
      <c r="D433" s="82">
        <v>-123369884.58</v>
      </c>
      <c r="E433" s="82">
        <v>-7150892.6799999997</v>
      </c>
      <c r="F433" s="79" t="s">
        <v>680</v>
      </c>
    </row>
    <row r="434" spans="1:6" x14ac:dyDescent="0.2">
      <c r="A434" s="79" t="s">
        <v>676</v>
      </c>
      <c r="B434" s="79" t="s">
        <v>650</v>
      </c>
      <c r="C434" s="82">
        <v>-130520777.26000001</v>
      </c>
      <c r="D434" s="82">
        <v>-123369884.58</v>
      </c>
      <c r="E434" s="82">
        <v>-7150892.6799999997</v>
      </c>
      <c r="F434" s="79" t="s">
        <v>680</v>
      </c>
    </row>
    <row r="435" spans="1:6" x14ac:dyDescent="0.2">
      <c r="A435" s="79" t="s">
        <v>676</v>
      </c>
      <c r="B435" s="79" t="s">
        <v>682</v>
      </c>
      <c r="C435" s="82">
        <v>0</v>
      </c>
      <c r="D435" s="82">
        <v>0</v>
      </c>
      <c r="E435" s="82">
        <v>0</v>
      </c>
      <c r="F435" s="79" t="s">
        <v>132</v>
      </c>
    </row>
    <row r="436" spans="1:6" x14ac:dyDescent="0.2">
      <c r="A436" s="79" t="s">
        <v>676</v>
      </c>
      <c r="B436" s="83" t="s">
        <v>570</v>
      </c>
      <c r="C436" s="82">
        <v>0</v>
      </c>
      <c r="D436" s="82">
        <v>0</v>
      </c>
      <c r="E436" s="82">
        <v>0</v>
      </c>
      <c r="F436" s="79" t="s">
        <v>132</v>
      </c>
    </row>
    <row r="437" spans="1:6" x14ac:dyDescent="0.2">
      <c r="A437" s="79" t="s">
        <v>683</v>
      </c>
      <c r="B437" s="79" t="s">
        <v>684</v>
      </c>
      <c r="C437" s="82">
        <v>0</v>
      </c>
      <c r="D437" s="82">
        <v>0</v>
      </c>
      <c r="E437" s="82">
        <v>0</v>
      </c>
      <c r="F437" s="79" t="s">
        <v>132</v>
      </c>
    </row>
    <row r="438" spans="1:6" x14ac:dyDescent="0.2">
      <c r="A438" s="79" t="s">
        <v>683</v>
      </c>
      <c r="B438" s="83" t="s">
        <v>685</v>
      </c>
      <c r="C438" s="82">
        <v>0</v>
      </c>
      <c r="D438" s="82">
        <v>0</v>
      </c>
      <c r="E438" s="82">
        <v>0</v>
      </c>
      <c r="F438" s="79" t="s">
        <v>132</v>
      </c>
    </row>
    <row r="439" spans="1:6" x14ac:dyDescent="0.2">
      <c r="A439" s="79" t="s">
        <v>686</v>
      </c>
      <c r="B439" s="79" t="s">
        <v>687</v>
      </c>
      <c r="C439" s="82">
        <v>0</v>
      </c>
      <c r="D439" s="82">
        <v>0</v>
      </c>
      <c r="E439" s="82">
        <v>0</v>
      </c>
      <c r="F439" s="79" t="s">
        <v>132</v>
      </c>
    </row>
    <row r="440" spans="1:6" x14ac:dyDescent="0.2">
      <c r="A440" s="79" t="s">
        <v>686</v>
      </c>
      <c r="B440" s="83" t="s">
        <v>346</v>
      </c>
      <c r="C440" s="82">
        <v>0</v>
      </c>
      <c r="D440" s="82">
        <v>0</v>
      </c>
      <c r="E440" s="82">
        <v>0</v>
      </c>
      <c r="F440" s="79" t="s">
        <v>132</v>
      </c>
    </row>
    <row r="441" spans="1:6" x14ac:dyDescent="0.2">
      <c r="A441" s="79" t="s">
        <v>688</v>
      </c>
      <c r="B441" s="79" t="s">
        <v>689</v>
      </c>
      <c r="C441" s="82">
        <v>0</v>
      </c>
      <c r="D441" s="82">
        <v>0</v>
      </c>
      <c r="E441" s="82">
        <v>0</v>
      </c>
      <c r="F441" s="79" t="s">
        <v>132</v>
      </c>
    </row>
    <row r="442" spans="1:6" x14ac:dyDescent="0.2">
      <c r="A442" s="79" t="s">
        <v>688</v>
      </c>
      <c r="B442" s="79" t="s">
        <v>690</v>
      </c>
      <c r="C442" s="82">
        <v>-485779.17</v>
      </c>
      <c r="D442" s="82">
        <v>-545014.1</v>
      </c>
      <c r="E442" s="82">
        <v>59234.93</v>
      </c>
      <c r="F442" s="79" t="s">
        <v>691</v>
      </c>
    </row>
    <row r="443" spans="1:6" x14ac:dyDescent="0.2">
      <c r="A443" s="79" t="s">
        <v>688</v>
      </c>
      <c r="B443" s="79" t="s">
        <v>692</v>
      </c>
      <c r="C443" s="82">
        <v>-2679907.4500000002</v>
      </c>
      <c r="D443" s="82">
        <v>-3108792.29</v>
      </c>
      <c r="E443" s="82">
        <v>428884.84</v>
      </c>
      <c r="F443" s="79" t="s">
        <v>693</v>
      </c>
    </row>
    <row r="444" spans="1:6" x14ac:dyDescent="0.2">
      <c r="A444" s="79" t="s">
        <v>688</v>
      </c>
      <c r="B444" s="79" t="s">
        <v>694</v>
      </c>
      <c r="C444" s="82">
        <v>-1270000</v>
      </c>
      <c r="D444" s="82">
        <v>1100000</v>
      </c>
      <c r="E444" s="82">
        <v>-2370000</v>
      </c>
      <c r="F444" s="79" t="s">
        <v>695</v>
      </c>
    </row>
    <row r="445" spans="1:6" x14ac:dyDescent="0.2">
      <c r="A445" s="79" t="s">
        <v>688</v>
      </c>
      <c r="B445" s="79" t="s">
        <v>696</v>
      </c>
      <c r="C445" s="82">
        <v>-48000</v>
      </c>
      <c r="D445" s="82">
        <v>-127600</v>
      </c>
      <c r="E445" s="82">
        <v>79600</v>
      </c>
      <c r="F445" s="79" t="s">
        <v>697</v>
      </c>
    </row>
    <row r="446" spans="1:6" x14ac:dyDescent="0.2">
      <c r="A446" s="79" t="s">
        <v>688</v>
      </c>
      <c r="B446" s="79" t="s">
        <v>132</v>
      </c>
      <c r="C446" s="82">
        <v>-4483686.62</v>
      </c>
      <c r="D446" s="82">
        <v>-2681406.39</v>
      </c>
      <c r="E446" s="82">
        <v>-1802280.23</v>
      </c>
      <c r="F446" s="79" t="s">
        <v>698</v>
      </c>
    </row>
    <row r="447" spans="1:6" x14ac:dyDescent="0.2">
      <c r="A447" s="79" t="s">
        <v>683</v>
      </c>
      <c r="B447" s="79" t="s">
        <v>699</v>
      </c>
      <c r="C447" s="82">
        <v>-4483686.62</v>
      </c>
      <c r="D447" s="82">
        <v>-2681406.39</v>
      </c>
      <c r="E447" s="82">
        <v>-1802280.23</v>
      </c>
      <c r="F447" s="79" t="s">
        <v>698</v>
      </c>
    </row>
    <row r="448" spans="1:6" x14ac:dyDescent="0.2">
      <c r="A448" s="79" t="s">
        <v>683</v>
      </c>
      <c r="B448" s="83" t="s">
        <v>700</v>
      </c>
      <c r="C448" s="82">
        <v>0</v>
      </c>
      <c r="D448" s="82">
        <v>0</v>
      </c>
      <c r="E448" s="82">
        <v>0</v>
      </c>
      <c r="F448" s="79" t="s">
        <v>132</v>
      </c>
    </row>
    <row r="449" spans="1:6" x14ac:dyDescent="0.2">
      <c r="A449" s="79" t="s">
        <v>701</v>
      </c>
      <c r="B449" s="79" t="s">
        <v>96</v>
      </c>
      <c r="C449" s="82">
        <v>0</v>
      </c>
      <c r="D449" s="82">
        <v>0</v>
      </c>
      <c r="E449" s="82">
        <v>0</v>
      </c>
      <c r="F449" s="79" t="s">
        <v>132</v>
      </c>
    </row>
    <row r="450" spans="1:6" x14ac:dyDescent="0.2">
      <c r="A450" s="79" t="s">
        <v>701</v>
      </c>
      <c r="B450" s="79" t="s">
        <v>95</v>
      </c>
      <c r="C450" s="82">
        <v>0</v>
      </c>
      <c r="D450" s="82">
        <v>0</v>
      </c>
      <c r="E450" s="82">
        <v>0</v>
      </c>
      <c r="F450" s="79" t="s">
        <v>132</v>
      </c>
    </row>
    <row r="451" spans="1:6" x14ac:dyDescent="0.2">
      <c r="A451" s="79" t="s">
        <v>701</v>
      </c>
      <c r="B451" s="83" t="s">
        <v>507</v>
      </c>
      <c r="C451" s="82">
        <v>0</v>
      </c>
      <c r="D451" s="82">
        <v>0</v>
      </c>
      <c r="E451" s="82">
        <v>0</v>
      </c>
      <c r="F451" s="79" t="s">
        <v>132</v>
      </c>
    </row>
    <row r="452" spans="1:6" x14ac:dyDescent="0.2">
      <c r="A452" s="79" t="s">
        <v>702</v>
      </c>
      <c r="B452" s="79" t="s">
        <v>687</v>
      </c>
      <c r="C452" s="82">
        <v>0</v>
      </c>
      <c r="D452" s="82">
        <v>0</v>
      </c>
      <c r="E452" s="82">
        <v>0</v>
      </c>
      <c r="F452" s="79" t="s">
        <v>132</v>
      </c>
    </row>
    <row r="453" spans="1:6" x14ac:dyDescent="0.2">
      <c r="A453" s="79" t="s">
        <v>702</v>
      </c>
      <c r="B453" s="83" t="s">
        <v>346</v>
      </c>
      <c r="C453" s="82">
        <v>0</v>
      </c>
      <c r="D453" s="82">
        <v>0</v>
      </c>
      <c r="E453" s="82">
        <v>0</v>
      </c>
      <c r="F453" s="79" t="s">
        <v>132</v>
      </c>
    </row>
    <row r="454" spans="1:6" x14ac:dyDescent="0.2">
      <c r="A454" s="79" t="s">
        <v>702</v>
      </c>
      <c r="B454" s="79" t="s">
        <v>703</v>
      </c>
      <c r="C454" s="82">
        <v>-1627465.68</v>
      </c>
      <c r="D454" s="82">
        <v>-2591912.14</v>
      </c>
      <c r="E454" s="82">
        <v>964446.46</v>
      </c>
      <c r="F454" s="79" t="s">
        <v>704</v>
      </c>
    </row>
    <row r="455" spans="1:6" x14ac:dyDescent="0.2">
      <c r="A455" s="79" t="s">
        <v>702</v>
      </c>
      <c r="B455" s="79" t="s">
        <v>132</v>
      </c>
      <c r="C455" s="82">
        <v>-1627465.68</v>
      </c>
      <c r="D455" s="82">
        <v>-2591912.14</v>
      </c>
      <c r="E455" s="82">
        <v>964446.46</v>
      </c>
      <c r="F455" s="79" t="s">
        <v>704</v>
      </c>
    </row>
    <row r="456" spans="1:6" x14ac:dyDescent="0.2">
      <c r="A456" s="79" t="s">
        <v>701</v>
      </c>
      <c r="B456" s="79" t="s">
        <v>705</v>
      </c>
      <c r="C456" s="82">
        <v>-1627465.68</v>
      </c>
      <c r="D456" s="82">
        <v>-2591912.14</v>
      </c>
      <c r="E456" s="82">
        <v>964446.46</v>
      </c>
      <c r="F456" s="79" t="s">
        <v>704</v>
      </c>
    </row>
    <row r="457" spans="1:6" x14ac:dyDescent="0.2">
      <c r="A457" s="79" t="s">
        <v>701</v>
      </c>
      <c r="B457" s="79" t="s">
        <v>95</v>
      </c>
      <c r="C457" s="82">
        <v>0</v>
      </c>
      <c r="D457" s="82">
        <v>0</v>
      </c>
      <c r="E457" s="82">
        <v>0</v>
      </c>
      <c r="F457" s="79" t="s">
        <v>132</v>
      </c>
    </row>
    <row r="458" spans="1:6" x14ac:dyDescent="0.2">
      <c r="A458" s="79" t="s">
        <v>701</v>
      </c>
      <c r="B458" s="83" t="s">
        <v>507</v>
      </c>
      <c r="C458" s="82">
        <v>0</v>
      </c>
      <c r="D458" s="82">
        <v>0</v>
      </c>
      <c r="E458" s="82">
        <v>0</v>
      </c>
      <c r="F458" s="79" t="s">
        <v>132</v>
      </c>
    </row>
    <row r="459" spans="1:6" x14ac:dyDescent="0.2">
      <c r="A459" s="79" t="s">
        <v>706</v>
      </c>
      <c r="B459" s="79" t="s">
        <v>42</v>
      </c>
      <c r="C459" s="82">
        <v>0</v>
      </c>
      <c r="D459" s="82">
        <v>0</v>
      </c>
      <c r="E459" s="82">
        <v>0</v>
      </c>
      <c r="F459" s="79" t="s">
        <v>132</v>
      </c>
    </row>
    <row r="460" spans="1:6" x14ac:dyDescent="0.2">
      <c r="A460" s="79" t="s">
        <v>706</v>
      </c>
      <c r="B460" s="83" t="s">
        <v>153</v>
      </c>
      <c r="C460" s="82">
        <v>0</v>
      </c>
      <c r="D460" s="82">
        <v>0</v>
      </c>
      <c r="E460" s="82">
        <v>0</v>
      </c>
      <c r="F460" s="79" t="s">
        <v>132</v>
      </c>
    </row>
    <row r="461" spans="1:6" x14ac:dyDescent="0.2">
      <c r="A461" s="79" t="s">
        <v>707</v>
      </c>
      <c r="B461" s="79" t="s">
        <v>708</v>
      </c>
      <c r="C461" s="82">
        <v>0</v>
      </c>
      <c r="D461" s="82">
        <v>0</v>
      </c>
      <c r="E461" s="82">
        <v>0</v>
      </c>
      <c r="F461" s="79" t="s">
        <v>132</v>
      </c>
    </row>
    <row r="462" spans="1:6" x14ac:dyDescent="0.2">
      <c r="A462" s="79" t="s">
        <v>707</v>
      </c>
      <c r="B462" s="83" t="s">
        <v>167</v>
      </c>
      <c r="C462" s="82">
        <v>0</v>
      </c>
      <c r="D462" s="82">
        <v>0</v>
      </c>
      <c r="E462" s="82">
        <v>0</v>
      </c>
      <c r="F462" s="79" t="s">
        <v>132</v>
      </c>
    </row>
    <row r="463" spans="1:6" x14ac:dyDescent="0.2">
      <c r="A463" s="79" t="s">
        <v>709</v>
      </c>
      <c r="B463" s="79" t="s">
        <v>311</v>
      </c>
      <c r="C463" s="82">
        <v>0</v>
      </c>
      <c r="D463" s="82">
        <v>0</v>
      </c>
      <c r="E463" s="82">
        <v>0</v>
      </c>
      <c r="F463" s="79" t="s">
        <v>132</v>
      </c>
    </row>
    <row r="464" spans="1:6" x14ac:dyDescent="0.2">
      <c r="A464" s="79" t="s">
        <v>709</v>
      </c>
      <c r="B464" s="83" t="s">
        <v>346</v>
      </c>
      <c r="C464" s="82">
        <v>0</v>
      </c>
      <c r="D464" s="82">
        <v>0</v>
      </c>
      <c r="E464" s="82">
        <v>0</v>
      </c>
      <c r="F464" s="79" t="s">
        <v>132</v>
      </c>
    </row>
    <row r="465" spans="1:6" x14ac:dyDescent="0.2">
      <c r="A465" s="79" t="s">
        <v>709</v>
      </c>
      <c r="B465" s="79" t="s">
        <v>710</v>
      </c>
      <c r="C465" s="82">
        <v>-1295499.1200000001</v>
      </c>
      <c r="D465" s="82">
        <v>-1163887.48</v>
      </c>
      <c r="E465" s="82">
        <v>-131611.64000000001</v>
      </c>
      <c r="F465" s="79" t="s">
        <v>711</v>
      </c>
    </row>
    <row r="466" spans="1:6" x14ac:dyDescent="0.2">
      <c r="A466" s="79" t="s">
        <v>709</v>
      </c>
      <c r="B466" s="79" t="s">
        <v>712</v>
      </c>
      <c r="C466" s="82">
        <v>0</v>
      </c>
      <c r="D466" s="82">
        <v>-265</v>
      </c>
      <c r="E466" s="82">
        <v>265</v>
      </c>
      <c r="F466" s="79" t="s">
        <v>401</v>
      </c>
    </row>
    <row r="467" spans="1:6" x14ac:dyDescent="0.2">
      <c r="A467" s="79" t="s">
        <v>709</v>
      </c>
      <c r="B467" s="79" t="s">
        <v>713</v>
      </c>
      <c r="C467" s="82">
        <v>-1295499.1200000001</v>
      </c>
      <c r="D467" s="82">
        <v>-1164152.48</v>
      </c>
      <c r="E467" s="82">
        <v>-131346.64000000001</v>
      </c>
      <c r="F467" s="79" t="s">
        <v>711</v>
      </c>
    </row>
    <row r="468" spans="1:6" x14ac:dyDescent="0.2">
      <c r="A468" s="79" t="s">
        <v>714</v>
      </c>
      <c r="B468" s="79" t="s">
        <v>414</v>
      </c>
      <c r="C468" s="82">
        <v>0</v>
      </c>
      <c r="D468" s="82">
        <v>-205972</v>
      </c>
      <c r="E468" s="82">
        <v>205972</v>
      </c>
      <c r="F468" s="79" t="s">
        <v>401</v>
      </c>
    </row>
    <row r="469" spans="1:6" x14ac:dyDescent="0.2">
      <c r="A469" s="79" t="s">
        <v>714</v>
      </c>
      <c r="B469" s="79" t="s">
        <v>415</v>
      </c>
      <c r="C469" s="82">
        <v>0</v>
      </c>
      <c r="D469" s="82">
        <v>164751.17000000001</v>
      </c>
      <c r="E469" s="82">
        <v>-164751.17000000001</v>
      </c>
      <c r="F469" s="79" t="s">
        <v>297</v>
      </c>
    </row>
    <row r="470" spans="1:6" x14ac:dyDescent="0.2">
      <c r="A470" s="79" t="s">
        <v>714</v>
      </c>
      <c r="B470" s="79" t="s">
        <v>132</v>
      </c>
      <c r="C470" s="82">
        <v>0</v>
      </c>
      <c r="D470" s="82">
        <v>-41220.83</v>
      </c>
      <c r="E470" s="82">
        <v>41220.83</v>
      </c>
      <c r="F470" s="79" t="s">
        <v>401</v>
      </c>
    </row>
    <row r="471" spans="1:6" x14ac:dyDescent="0.2">
      <c r="A471" s="79" t="s">
        <v>707</v>
      </c>
      <c r="B471" s="79" t="s">
        <v>715</v>
      </c>
      <c r="C471" s="82">
        <v>-1295499.1200000001</v>
      </c>
      <c r="D471" s="82">
        <v>-1205373.31</v>
      </c>
      <c r="E471" s="82">
        <v>-90125.81</v>
      </c>
      <c r="F471" s="79" t="s">
        <v>281</v>
      </c>
    </row>
    <row r="472" spans="1:6" x14ac:dyDescent="0.2">
      <c r="A472" s="79" t="s">
        <v>707</v>
      </c>
      <c r="B472" s="83" t="s">
        <v>386</v>
      </c>
      <c r="C472" s="82">
        <v>0</v>
      </c>
      <c r="D472" s="82">
        <v>0</v>
      </c>
      <c r="E472" s="82">
        <v>0</v>
      </c>
      <c r="F472" s="79" t="s">
        <v>132</v>
      </c>
    </row>
    <row r="473" spans="1:6" x14ac:dyDescent="0.2">
      <c r="A473" s="79" t="s">
        <v>716</v>
      </c>
      <c r="B473" s="79" t="s">
        <v>717</v>
      </c>
      <c r="C473" s="82">
        <v>0</v>
      </c>
      <c r="D473" s="82">
        <v>0</v>
      </c>
      <c r="E473" s="82">
        <v>0</v>
      </c>
      <c r="F473" s="79" t="s">
        <v>132</v>
      </c>
    </row>
    <row r="474" spans="1:6" x14ac:dyDescent="0.2">
      <c r="A474" s="79" t="s">
        <v>716</v>
      </c>
      <c r="B474" s="79" t="s">
        <v>718</v>
      </c>
      <c r="C474" s="82">
        <v>0</v>
      </c>
      <c r="D474" s="82">
        <v>0</v>
      </c>
      <c r="E474" s="82">
        <v>0</v>
      </c>
      <c r="F474" s="79" t="s">
        <v>132</v>
      </c>
    </row>
    <row r="475" spans="1:6" x14ac:dyDescent="0.2">
      <c r="A475" s="79" t="s">
        <v>716</v>
      </c>
      <c r="B475" s="83" t="s">
        <v>309</v>
      </c>
      <c r="C475" s="82">
        <v>0</v>
      </c>
      <c r="D475" s="82">
        <v>0</v>
      </c>
      <c r="E475" s="82">
        <v>0</v>
      </c>
      <c r="F475" s="79" t="s">
        <v>132</v>
      </c>
    </row>
    <row r="476" spans="1:6" x14ac:dyDescent="0.2">
      <c r="A476" s="79" t="s">
        <v>719</v>
      </c>
      <c r="B476" s="79" t="s">
        <v>720</v>
      </c>
      <c r="C476" s="82">
        <v>-53247.18</v>
      </c>
      <c r="D476" s="82">
        <v>-46946.05</v>
      </c>
      <c r="E476" s="82">
        <v>-6301.13</v>
      </c>
      <c r="F476" s="79" t="s">
        <v>721</v>
      </c>
    </row>
    <row r="477" spans="1:6" x14ac:dyDescent="0.2">
      <c r="A477" s="79" t="s">
        <v>719</v>
      </c>
      <c r="B477" s="79" t="s">
        <v>722</v>
      </c>
      <c r="C477" s="82">
        <v>-53247.18</v>
      </c>
      <c r="D477" s="82">
        <v>-46946.05</v>
      </c>
      <c r="E477" s="82">
        <v>-6301.13</v>
      </c>
      <c r="F477" s="79" t="s">
        <v>721</v>
      </c>
    </row>
    <row r="478" spans="1:6" x14ac:dyDescent="0.2">
      <c r="A478" s="79" t="s">
        <v>719</v>
      </c>
      <c r="B478" s="79" t="s">
        <v>723</v>
      </c>
      <c r="C478" s="82">
        <v>0</v>
      </c>
      <c r="D478" s="82">
        <v>0</v>
      </c>
      <c r="E478" s="82">
        <v>0</v>
      </c>
      <c r="F478" s="79" t="s">
        <v>132</v>
      </c>
    </row>
    <row r="479" spans="1:6" x14ac:dyDescent="0.2">
      <c r="A479" s="79" t="s">
        <v>716</v>
      </c>
      <c r="B479" s="79" t="s">
        <v>724</v>
      </c>
      <c r="C479" s="82">
        <v>-53247.18</v>
      </c>
      <c r="D479" s="82">
        <v>-46946.05</v>
      </c>
      <c r="E479" s="82">
        <v>-6301.13</v>
      </c>
      <c r="F479" s="79" t="s">
        <v>721</v>
      </c>
    </row>
    <row r="480" spans="1:6" x14ac:dyDescent="0.2">
      <c r="A480" s="79" t="s">
        <v>716</v>
      </c>
      <c r="B480" s="79" t="s">
        <v>718</v>
      </c>
      <c r="C480" s="82">
        <v>0</v>
      </c>
      <c r="D480" s="82">
        <v>0</v>
      </c>
      <c r="E480" s="82">
        <v>0</v>
      </c>
      <c r="F480" s="79" t="s">
        <v>132</v>
      </c>
    </row>
    <row r="481" spans="1:6" x14ac:dyDescent="0.2">
      <c r="A481" s="79" t="s">
        <v>716</v>
      </c>
      <c r="B481" s="83" t="s">
        <v>344</v>
      </c>
      <c r="C481" s="82">
        <v>0</v>
      </c>
      <c r="D481" s="82">
        <v>0</v>
      </c>
      <c r="E481" s="82">
        <v>0</v>
      </c>
      <c r="F481" s="79" t="s">
        <v>132</v>
      </c>
    </row>
    <row r="482" spans="1:6" x14ac:dyDescent="0.2">
      <c r="A482" s="79" t="s">
        <v>716</v>
      </c>
      <c r="B482" s="79" t="s">
        <v>725</v>
      </c>
      <c r="C482" s="82">
        <v>0</v>
      </c>
      <c r="D482" s="82">
        <v>0</v>
      </c>
      <c r="E482" s="82">
        <v>0</v>
      </c>
      <c r="F482" s="79" t="s">
        <v>132</v>
      </c>
    </row>
    <row r="483" spans="1:6" x14ac:dyDescent="0.2">
      <c r="A483" s="79" t="s">
        <v>726</v>
      </c>
      <c r="B483" s="79" t="s">
        <v>727</v>
      </c>
      <c r="C483" s="82">
        <v>0</v>
      </c>
      <c r="D483" s="82">
        <v>0</v>
      </c>
      <c r="E483" s="82">
        <v>0</v>
      </c>
      <c r="F483" s="79" t="s">
        <v>132</v>
      </c>
    </row>
    <row r="484" spans="1:6" x14ac:dyDescent="0.2">
      <c r="A484" s="79" t="s">
        <v>726</v>
      </c>
      <c r="B484" s="83" t="s">
        <v>504</v>
      </c>
      <c r="C484" s="82">
        <v>0</v>
      </c>
      <c r="D484" s="82">
        <v>0</v>
      </c>
      <c r="E484" s="82">
        <v>0</v>
      </c>
      <c r="F484" s="79" t="s">
        <v>132</v>
      </c>
    </row>
    <row r="485" spans="1:6" x14ac:dyDescent="0.2">
      <c r="A485" s="79" t="s">
        <v>728</v>
      </c>
      <c r="B485" s="79" t="s">
        <v>729</v>
      </c>
      <c r="C485" s="82">
        <v>-4210996.82</v>
      </c>
      <c r="D485" s="82">
        <v>-4267324.9400000004</v>
      </c>
      <c r="E485" s="82">
        <v>56328.12</v>
      </c>
      <c r="F485" s="79" t="s">
        <v>730</v>
      </c>
    </row>
    <row r="486" spans="1:6" x14ac:dyDescent="0.2">
      <c r="A486" s="79" t="s">
        <v>728</v>
      </c>
      <c r="B486" s="79" t="s">
        <v>731</v>
      </c>
      <c r="C486" s="82">
        <v>-8944777.2300000004</v>
      </c>
      <c r="D486" s="82">
        <v>-7890813.7800000003</v>
      </c>
      <c r="E486" s="82">
        <v>-1053963.45</v>
      </c>
      <c r="F486" s="79" t="s">
        <v>721</v>
      </c>
    </row>
    <row r="487" spans="1:6" x14ac:dyDescent="0.2">
      <c r="A487" s="79" t="s">
        <v>728</v>
      </c>
      <c r="B487" s="79" t="s">
        <v>732</v>
      </c>
      <c r="C487" s="82">
        <v>-130359.02</v>
      </c>
      <c r="D487" s="82">
        <v>-120765.8</v>
      </c>
      <c r="E487" s="82">
        <v>-9593.2199999999993</v>
      </c>
      <c r="F487" s="79" t="s">
        <v>733</v>
      </c>
    </row>
    <row r="488" spans="1:6" x14ac:dyDescent="0.2">
      <c r="A488" s="79" t="s">
        <v>728</v>
      </c>
      <c r="B488" s="79" t="s">
        <v>734</v>
      </c>
      <c r="C488" s="82">
        <v>-1636269.84</v>
      </c>
      <c r="D488" s="82">
        <v>-1774079.78</v>
      </c>
      <c r="E488" s="82">
        <v>137809.94</v>
      </c>
      <c r="F488" s="79" t="s">
        <v>735</v>
      </c>
    </row>
    <row r="489" spans="1:6" x14ac:dyDescent="0.2">
      <c r="A489" s="79" t="s">
        <v>728</v>
      </c>
      <c r="B489" s="79" t="s">
        <v>736</v>
      </c>
      <c r="C489" s="82">
        <v>-683.96</v>
      </c>
      <c r="D489" s="82">
        <v>-72.540000000000006</v>
      </c>
      <c r="E489" s="82">
        <v>-611.41999999999996</v>
      </c>
      <c r="F489" s="79" t="s">
        <v>737</v>
      </c>
    </row>
    <row r="490" spans="1:6" x14ac:dyDescent="0.2">
      <c r="A490" s="79" t="s">
        <v>728</v>
      </c>
      <c r="B490" s="79" t="s">
        <v>738</v>
      </c>
      <c r="C490" s="82">
        <v>-90288.16</v>
      </c>
      <c r="D490" s="82">
        <v>-62531.26</v>
      </c>
      <c r="E490" s="82">
        <v>-27756.9</v>
      </c>
      <c r="F490" s="79" t="s">
        <v>739</v>
      </c>
    </row>
    <row r="491" spans="1:6" x14ac:dyDescent="0.2">
      <c r="A491" s="79" t="s">
        <v>728</v>
      </c>
      <c r="B491" s="79" t="s">
        <v>132</v>
      </c>
      <c r="C491" s="82">
        <v>-15013375.029999999</v>
      </c>
      <c r="D491" s="82">
        <v>-14115588.1</v>
      </c>
      <c r="E491" s="82">
        <v>-897786.93</v>
      </c>
      <c r="F491" s="79" t="s">
        <v>740</v>
      </c>
    </row>
    <row r="492" spans="1:6" x14ac:dyDescent="0.2">
      <c r="A492" s="79" t="s">
        <v>741</v>
      </c>
      <c r="B492" s="79" t="s">
        <v>742</v>
      </c>
      <c r="C492" s="82">
        <v>-6374241.1200000001</v>
      </c>
      <c r="D492" s="82">
        <v>-4105753.48</v>
      </c>
      <c r="E492" s="82">
        <v>-2268487.64</v>
      </c>
      <c r="F492" s="79" t="s">
        <v>408</v>
      </c>
    </row>
    <row r="493" spans="1:6" x14ac:dyDescent="0.2">
      <c r="A493" s="79" t="s">
        <v>741</v>
      </c>
      <c r="B493" s="79" t="s">
        <v>743</v>
      </c>
      <c r="C493" s="82">
        <v>-80</v>
      </c>
      <c r="D493" s="82">
        <v>-40</v>
      </c>
      <c r="E493" s="82">
        <v>-40</v>
      </c>
      <c r="F493" s="79" t="s">
        <v>297</v>
      </c>
    </row>
    <row r="494" spans="1:6" x14ac:dyDescent="0.2">
      <c r="A494" s="79" t="s">
        <v>741</v>
      </c>
      <c r="B494" s="79" t="s">
        <v>419</v>
      </c>
      <c r="C494" s="82">
        <v>-40019.919999999998</v>
      </c>
      <c r="D494" s="82">
        <v>0</v>
      </c>
      <c r="E494" s="82">
        <v>-40019.919999999998</v>
      </c>
      <c r="F494" s="79" t="s">
        <v>132</v>
      </c>
    </row>
    <row r="495" spans="1:6" x14ac:dyDescent="0.2">
      <c r="A495" s="79" t="s">
        <v>741</v>
      </c>
      <c r="B495" s="79" t="s">
        <v>744</v>
      </c>
      <c r="C495" s="82">
        <v>-65493.23</v>
      </c>
      <c r="D495" s="82">
        <v>-65012.49</v>
      </c>
      <c r="E495" s="82">
        <v>-480.74</v>
      </c>
      <c r="F495" s="79" t="s">
        <v>745</v>
      </c>
    </row>
    <row r="496" spans="1:6" x14ac:dyDescent="0.2">
      <c r="A496" s="79" t="s">
        <v>741</v>
      </c>
      <c r="B496" s="79" t="s">
        <v>746</v>
      </c>
      <c r="C496" s="82">
        <v>-23226</v>
      </c>
      <c r="D496" s="82">
        <v>-14560</v>
      </c>
      <c r="E496" s="82">
        <v>-8666</v>
      </c>
      <c r="F496" s="79" t="s">
        <v>747</v>
      </c>
    </row>
    <row r="497" spans="1:6" x14ac:dyDescent="0.2">
      <c r="A497" s="79" t="s">
        <v>741</v>
      </c>
      <c r="B497" s="79" t="s">
        <v>748</v>
      </c>
      <c r="C497" s="82">
        <v>-101038.04</v>
      </c>
      <c r="D497" s="82">
        <v>0</v>
      </c>
      <c r="E497" s="82">
        <v>-101038.04</v>
      </c>
      <c r="F497" s="79" t="s">
        <v>132</v>
      </c>
    </row>
    <row r="498" spans="1:6" x14ac:dyDescent="0.2">
      <c r="A498" s="79" t="s">
        <v>741</v>
      </c>
      <c r="B498" s="79" t="s">
        <v>132</v>
      </c>
      <c r="C498" s="82">
        <v>-6604098.3099999996</v>
      </c>
      <c r="D498" s="82">
        <v>-4185365.97</v>
      </c>
      <c r="E498" s="82">
        <v>-2418732.34</v>
      </c>
      <c r="F498" s="79" t="s">
        <v>291</v>
      </c>
    </row>
    <row r="499" spans="1:6" x14ac:dyDescent="0.2">
      <c r="A499" s="79" t="s">
        <v>749</v>
      </c>
      <c r="B499" s="79" t="s">
        <v>750</v>
      </c>
      <c r="C499" s="82">
        <v>0</v>
      </c>
      <c r="D499" s="82">
        <v>0</v>
      </c>
      <c r="E499" s="82">
        <v>0</v>
      </c>
      <c r="F499" s="79" t="s">
        <v>132</v>
      </c>
    </row>
    <row r="500" spans="1:6" x14ac:dyDescent="0.2">
      <c r="A500" s="79" t="s">
        <v>749</v>
      </c>
      <c r="B500" s="83" t="s">
        <v>346</v>
      </c>
      <c r="C500" s="82">
        <v>0</v>
      </c>
      <c r="D500" s="82">
        <v>0</v>
      </c>
      <c r="E500" s="82">
        <v>0</v>
      </c>
      <c r="F500" s="79" t="s">
        <v>132</v>
      </c>
    </row>
    <row r="501" spans="1:6" x14ac:dyDescent="0.2">
      <c r="A501" s="79" t="s">
        <v>749</v>
      </c>
      <c r="B501" s="79" t="s">
        <v>751</v>
      </c>
      <c r="C501" s="82">
        <v>-56739.26</v>
      </c>
      <c r="D501" s="82">
        <v>-53909.06</v>
      </c>
      <c r="E501" s="82">
        <v>-2830.2</v>
      </c>
      <c r="F501" s="79" t="s">
        <v>185</v>
      </c>
    </row>
    <row r="502" spans="1:6" x14ac:dyDescent="0.2">
      <c r="A502" s="79" t="s">
        <v>749</v>
      </c>
      <c r="B502" s="79" t="s">
        <v>132</v>
      </c>
      <c r="C502" s="82">
        <v>-56739.26</v>
      </c>
      <c r="D502" s="82">
        <v>-53909.06</v>
      </c>
      <c r="E502" s="82">
        <v>-2830.2</v>
      </c>
      <c r="F502" s="79" t="s">
        <v>185</v>
      </c>
    </row>
    <row r="503" spans="1:6" x14ac:dyDescent="0.2">
      <c r="A503" s="79" t="s">
        <v>726</v>
      </c>
      <c r="B503" s="79" t="s">
        <v>752</v>
      </c>
      <c r="C503" s="82">
        <v>-21674212.600000001</v>
      </c>
      <c r="D503" s="82">
        <v>-18354863.129999999</v>
      </c>
      <c r="E503" s="82">
        <v>-3319349.47</v>
      </c>
      <c r="F503" s="79" t="s">
        <v>753</v>
      </c>
    </row>
    <row r="504" spans="1:6" x14ac:dyDescent="0.2">
      <c r="A504" s="79" t="s">
        <v>726</v>
      </c>
      <c r="B504" s="83" t="s">
        <v>159</v>
      </c>
      <c r="C504" s="82">
        <v>0</v>
      </c>
      <c r="D504" s="82">
        <v>0</v>
      </c>
      <c r="E504" s="82">
        <v>0</v>
      </c>
      <c r="F504" s="79" t="s">
        <v>132</v>
      </c>
    </row>
    <row r="505" spans="1:6" x14ac:dyDescent="0.2">
      <c r="A505" s="79" t="s">
        <v>706</v>
      </c>
      <c r="B505" s="79" t="s">
        <v>754</v>
      </c>
      <c r="C505" s="82">
        <v>-23022958.899999999</v>
      </c>
      <c r="D505" s="82">
        <v>-19607182.489999998</v>
      </c>
      <c r="E505" s="82">
        <v>-3415776.41</v>
      </c>
      <c r="F505" s="79" t="s">
        <v>755</v>
      </c>
    </row>
    <row r="506" spans="1:6" x14ac:dyDescent="0.2">
      <c r="A506" s="79" t="s">
        <v>706</v>
      </c>
      <c r="B506" s="83" t="s">
        <v>685</v>
      </c>
      <c r="C506" s="82">
        <v>0</v>
      </c>
      <c r="D506" s="82">
        <v>0</v>
      </c>
      <c r="E506" s="82">
        <v>0</v>
      </c>
      <c r="F506" s="79" t="s">
        <v>132</v>
      </c>
    </row>
    <row r="507" spans="1:6" x14ac:dyDescent="0.2">
      <c r="A507" s="79" t="s">
        <v>623</v>
      </c>
      <c r="B507" s="79" t="s">
        <v>756</v>
      </c>
      <c r="C507" s="82">
        <v>-993782504.80999994</v>
      </c>
      <c r="D507" s="82">
        <v>-1019314143.16</v>
      </c>
      <c r="E507" s="82">
        <v>25531638.350000001</v>
      </c>
      <c r="F507" s="79" t="s">
        <v>757</v>
      </c>
    </row>
    <row r="508" spans="1:6" x14ac:dyDescent="0.2">
      <c r="A508" s="79" t="s">
        <v>623</v>
      </c>
      <c r="B508" s="83" t="s">
        <v>758</v>
      </c>
      <c r="C508" s="82">
        <v>0</v>
      </c>
      <c r="D508" s="82">
        <v>0</v>
      </c>
      <c r="E508" s="82">
        <v>0</v>
      </c>
      <c r="F508" s="79" t="s">
        <v>132</v>
      </c>
    </row>
    <row r="509" spans="1:6" x14ac:dyDescent="0.2">
      <c r="A509" s="79" t="s">
        <v>759</v>
      </c>
      <c r="B509" s="79" t="s">
        <v>496</v>
      </c>
      <c r="C509" s="82">
        <v>0</v>
      </c>
      <c r="D509" s="82">
        <v>0</v>
      </c>
      <c r="E509" s="82">
        <v>0</v>
      </c>
      <c r="F509" s="79" t="s">
        <v>132</v>
      </c>
    </row>
    <row r="510" spans="1:6" x14ac:dyDescent="0.2">
      <c r="A510" s="79" t="s">
        <v>759</v>
      </c>
      <c r="B510" s="83" t="s">
        <v>202</v>
      </c>
      <c r="C510" s="82">
        <v>0</v>
      </c>
      <c r="D510" s="82">
        <v>0</v>
      </c>
      <c r="E510" s="82">
        <v>0</v>
      </c>
      <c r="F510" s="79" t="s">
        <v>132</v>
      </c>
    </row>
    <row r="511" spans="1:6" x14ac:dyDescent="0.2">
      <c r="A511" s="79" t="s">
        <v>759</v>
      </c>
      <c r="B511" s="79" t="s">
        <v>760</v>
      </c>
      <c r="C511" s="82">
        <v>-3778372.64</v>
      </c>
      <c r="D511" s="82">
        <v>-2911313.01</v>
      </c>
      <c r="E511" s="82">
        <v>-867059.63</v>
      </c>
      <c r="F511" s="79" t="s">
        <v>761</v>
      </c>
    </row>
    <row r="512" spans="1:6" x14ac:dyDescent="0.2">
      <c r="A512" s="79" t="s">
        <v>759</v>
      </c>
      <c r="B512" s="79" t="s">
        <v>132</v>
      </c>
      <c r="C512" s="82">
        <v>-3778372.64</v>
      </c>
      <c r="D512" s="82">
        <v>-2911313.01</v>
      </c>
      <c r="E512" s="82">
        <v>-867059.63</v>
      </c>
      <c r="F512" s="79" t="s">
        <v>761</v>
      </c>
    </row>
    <row r="513" spans="1:6" x14ac:dyDescent="0.2">
      <c r="A513" s="79" t="s">
        <v>515</v>
      </c>
      <c r="B513" s="79" t="s">
        <v>762</v>
      </c>
      <c r="C513" s="82">
        <v>-1114873092.02</v>
      </c>
      <c r="D513" s="82">
        <v>-1137228544.3499999</v>
      </c>
      <c r="E513" s="82">
        <v>22355452.329999998</v>
      </c>
      <c r="F513" s="79" t="s">
        <v>632</v>
      </c>
    </row>
    <row r="514" spans="1:6" x14ac:dyDescent="0.2">
      <c r="A514" s="79" t="s">
        <v>515</v>
      </c>
      <c r="B514" s="83" t="s">
        <v>303</v>
      </c>
      <c r="C514" s="82">
        <v>0</v>
      </c>
      <c r="D514" s="82">
        <v>0</v>
      </c>
      <c r="E514" s="82">
        <v>0</v>
      </c>
      <c r="F514" s="79" t="s">
        <v>132</v>
      </c>
    </row>
    <row r="515" spans="1:6" x14ac:dyDescent="0.2">
      <c r="A515" s="79" t="s">
        <v>763</v>
      </c>
      <c r="B515" s="79" t="s">
        <v>764</v>
      </c>
      <c r="C515" s="82">
        <v>0</v>
      </c>
      <c r="D515" s="82">
        <v>0</v>
      </c>
      <c r="E515" s="82">
        <v>0</v>
      </c>
      <c r="F515" s="79" t="s">
        <v>132</v>
      </c>
    </row>
    <row r="516" spans="1:6" x14ac:dyDescent="0.2">
      <c r="A516" s="79" t="s">
        <v>763</v>
      </c>
      <c r="B516" s="83" t="s">
        <v>765</v>
      </c>
      <c r="C516" s="82">
        <v>0</v>
      </c>
      <c r="D516" s="82">
        <v>0</v>
      </c>
      <c r="E516" s="82">
        <v>0</v>
      </c>
      <c r="F516" s="79" t="s">
        <v>132</v>
      </c>
    </row>
    <row r="517" spans="1:6" x14ac:dyDescent="0.2">
      <c r="A517" s="79" t="s">
        <v>766</v>
      </c>
      <c r="B517" s="79" t="s">
        <v>55</v>
      </c>
      <c r="C517" s="82">
        <v>0</v>
      </c>
      <c r="D517" s="82">
        <v>0</v>
      </c>
      <c r="E517" s="82">
        <v>0</v>
      </c>
      <c r="F517" s="79" t="s">
        <v>132</v>
      </c>
    </row>
    <row r="518" spans="1:6" x14ac:dyDescent="0.2">
      <c r="A518" s="79" t="s">
        <v>766</v>
      </c>
      <c r="B518" s="83" t="s">
        <v>303</v>
      </c>
      <c r="C518" s="82">
        <v>0</v>
      </c>
      <c r="D518" s="82">
        <v>0</v>
      </c>
      <c r="E518" s="82">
        <v>0</v>
      </c>
      <c r="F518" s="79" t="s">
        <v>132</v>
      </c>
    </row>
    <row r="519" spans="1:6" x14ac:dyDescent="0.2">
      <c r="A519" s="79" t="s">
        <v>767</v>
      </c>
      <c r="B519" s="79" t="s">
        <v>768</v>
      </c>
      <c r="C519" s="82">
        <v>0</v>
      </c>
      <c r="D519" s="82">
        <v>0</v>
      </c>
      <c r="E519" s="82">
        <v>0</v>
      </c>
      <c r="F519" s="79" t="s">
        <v>132</v>
      </c>
    </row>
    <row r="520" spans="1:6" x14ac:dyDescent="0.2">
      <c r="A520" s="79" t="s">
        <v>767</v>
      </c>
      <c r="B520" s="83" t="s">
        <v>769</v>
      </c>
      <c r="C520" s="82">
        <v>0</v>
      </c>
      <c r="D520" s="82">
        <v>0</v>
      </c>
      <c r="E520" s="82">
        <v>0</v>
      </c>
      <c r="F520" s="79" t="s">
        <v>132</v>
      </c>
    </row>
    <row r="521" spans="1:6" x14ac:dyDescent="0.2">
      <c r="A521" s="79" t="s">
        <v>770</v>
      </c>
      <c r="B521" s="79" t="s">
        <v>771</v>
      </c>
      <c r="C521" s="82">
        <v>0</v>
      </c>
      <c r="D521" s="82">
        <v>0</v>
      </c>
      <c r="E521" s="82">
        <v>0</v>
      </c>
      <c r="F521" s="79" t="s">
        <v>132</v>
      </c>
    </row>
    <row r="522" spans="1:6" x14ac:dyDescent="0.2">
      <c r="A522" s="79" t="s">
        <v>772</v>
      </c>
      <c r="B522" s="79" t="s">
        <v>773</v>
      </c>
      <c r="C522" s="82">
        <v>-10936521.359999999</v>
      </c>
      <c r="D522" s="82">
        <v>-13441127.699999999</v>
      </c>
      <c r="E522" s="82">
        <v>2504606.34</v>
      </c>
      <c r="F522" s="79" t="s">
        <v>774</v>
      </c>
    </row>
    <row r="523" spans="1:6" x14ac:dyDescent="0.2">
      <c r="A523" s="79" t="s">
        <v>772</v>
      </c>
      <c r="B523" s="79" t="s">
        <v>132</v>
      </c>
      <c r="C523" s="82">
        <v>-10936521.359999999</v>
      </c>
      <c r="D523" s="82">
        <v>-13441127.699999999</v>
      </c>
      <c r="E523" s="82">
        <v>2504606.34</v>
      </c>
      <c r="F523" s="79" t="s">
        <v>774</v>
      </c>
    </row>
    <row r="524" spans="1:6" x14ac:dyDescent="0.2">
      <c r="A524" s="79" t="s">
        <v>775</v>
      </c>
      <c r="B524" s="79" t="s">
        <v>776</v>
      </c>
      <c r="C524" s="82">
        <v>0</v>
      </c>
      <c r="D524" s="82">
        <v>0</v>
      </c>
      <c r="E524" s="82">
        <v>0</v>
      </c>
      <c r="F524" s="79" t="s">
        <v>132</v>
      </c>
    </row>
    <row r="525" spans="1:6" x14ac:dyDescent="0.2">
      <c r="A525" s="79" t="s">
        <v>775</v>
      </c>
      <c r="B525" s="79" t="s">
        <v>777</v>
      </c>
      <c r="C525" s="82">
        <v>-33107404.73</v>
      </c>
      <c r="D525" s="82">
        <v>-27683064.98</v>
      </c>
      <c r="E525" s="82">
        <v>-5424339.75</v>
      </c>
      <c r="F525" s="79" t="s">
        <v>778</v>
      </c>
    </row>
    <row r="526" spans="1:6" x14ac:dyDescent="0.2">
      <c r="A526" s="79" t="s">
        <v>775</v>
      </c>
      <c r="B526" s="79" t="s">
        <v>779</v>
      </c>
      <c r="C526" s="82">
        <v>-2527837.52</v>
      </c>
      <c r="D526" s="82">
        <v>-2377640.09</v>
      </c>
      <c r="E526" s="82">
        <v>-150197.43</v>
      </c>
      <c r="F526" s="79" t="s">
        <v>780</v>
      </c>
    </row>
    <row r="527" spans="1:6" x14ac:dyDescent="0.2">
      <c r="A527" s="79" t="s">
        <v>775</v>
      </c>
      <c r="B527" s="79" t="s">
        <v>781</v>
      </c>
      <c r="C527" s="82">
        <v>-8812148</v>
      </c>
      <c r="D527" s="82">
        <v>-8561884</v>
      </c>
      <c r="E527" s="82">
        <v>-250264</v>
      </c>
      <c r="F527" s="79" t="s">
        <v>158</v>
      </c>
    </row>
    <row r="528" spans="1:6" x14ac:dyDescent="0.2">
      <c r="A528" s="79" t="s">
        <v>775</v>
      </c>
      <c r="B528" s="79" t="s">
        <v>782</v>
      </c>
      <c r="C528" s="82">
        <v>-1693316.64</v>
      </c>
      <c r="D528" s="82">
        <v>-1641700.29</v>
      </c>
      <c r="E528" s="82">
        <v>-51616.35</v>
      </c>
      <c r="F528" s="79" t="s">
        <v>783</v>
      </c>
    </row>
    <row r="529" spans="1:6" x14ac:dyDescent="0.2">
      <c r="A529" s="79" t="s">
        <v>775</v>
      </c>
      <c r="B529" s="79" t="s">
        <v>784</v>
      </c>
      <c r="C529" s="82">
        <v>-4644477</v>
      </c>
      <c r="D529" s="82">
        <v>-4400829.5</v>
      </c>
      <c r="E529" s="82">
        <v>-243647.5</v>
      </c>
      <c r="F529" s="79" t="s">
        <v>171</v>
      </c>
    </row>
    <row r="530" spans="1:6" x14ac:dyDescent="0.2">
      <c r="A530" s="79" t="s">
        <v>775</v>
      </c>
      <c r="B530" s="79" t="s">
        <v>785</v>
      </c>
      <c r="C530" s="82">
        <v>-50785183.890000001</v>
      </c>
      <c r="D530" s="82">
        <v>-44665118.859999999</v>
      </c>
      <c r="E530" s="82">
        <v>-6120065.0300000003</v>
      </c>
      <c r="F530" s="79" t="s">
        <v>786</v>
      </c>
    </row>
    <row r="531" spans="1:6" x14ac:dyDescent="0.2">
      <c r="A531" s="79" t="s">
        <v>787</v>
      </c>
      <c r="B531" s="79" t="s">
        <v>788</v>
      </c>
      <c r="C531" s="82">
        <v>0</v>
      </c>
      <c r="D531" s="82">
        <v>0</v>
      </c>
      <c r="E531" s="82">
        <v>0</v>
      </c>
      <c r="F531" s="79" t="s">
        <v>132</v>
      </c>
    </row>
    <row r="532" spans="1:6" x14ac:dyDescent="0.2">
      <c r="A532" s="79" t="s">
        <v>787</v>
      </c>
      <c r="B532" s="79" t="s">
        <v>789</v>
      </c>
      <c r="C532" s="82">
        <v>-13462830.76</v>
      </c>
      <c r="D532" s="82">
        <v>-13262904.619999999</v>
      </c>
      <c r="E532" s="82">
        <v>-199926.14</v>
      </c>
      <c r="F532" s="79" t="s">
        <v>790</v>
      </c>
    </row>
    <row r="533" spans="1:6" x14ac:dyDescent="0.2">
      <c r="A533" s="79" t="s">
        <v>787</v>
      </c>
      <c r="B533" s="79" t="s">
        <v>791</v>
      </c>
      <c r="C533" s="82">
        <v>-71318906.640000001</v>
      </c>
      <c r="D533" s="82">
        <v>-66301478.640000001</v>
      </c>
      <c r="E533" s="82">
        <v>-5017428</v>
      </c>
      <c r="F533" s="79" t="s">
        <v>792</v>
      </c>
    </row>
    <row r="534" spans="1:6" x14ac:dyDescent="0.2">
      <c r="A534" s="79" t="s">
        <v>787</v>
      </c>
      <c r="B534" s="79" t="s">
        <v>793</v>
      </c>
      <c r="C534" s="82">
        <v>-94890995.519999996</v>
      </c>
      <c r="D534" s="82">
        <v>-90761486.040000007</v>
      </c>
      <c r="E534" s="82">
        <v>-4129509.48</v>
      </c>
      <c r="F534" s="79" t="s">
        <v>794</v>
      </c>
    </row>
    <row r="535" spans="1:6" x14ac:dyDescent="0.2">
      <c r="A535" s="79" t="s">
        <v>787</v>
      </c>
      <c r="B535" s="79" t="s">
        <v>795</v>
      </c>
      <c r="C535" s="82">
        <v>-2220821.79</v>
      </c>
      <c r="D535" s="82">
        <v>-2475429.33</v>
      </c>
      <c r="E535" s="82">
        <v>254607.54</v>
      </c>
      <c r="F535" s="79" t="s">
        <v>796</v>
      </c>
    </row>
    <row r="536" spans="1:6" x14ac:dyDescent="0.2">
      <c r="A536" s="79" t="s">
        <v>787</v>
      </c>
      <c r="B536" s="79" t="s">
        <v>797</v>
      </c>
      <c r="C536" s="82">
        <v>-14168785.949999999</v>
      </c>
      <c r="D536" s="82">
        <v>-13484585.699999999</v>
      </c>
      <c r="E536" s="82">
        <v>-684200.25</v>
      </c>
      <c r="F536" s="79" t="s">
        <v>798</v>
      </c>
    </row>
    <row r="537" spans="1:6" x14ac:dyDescent="0.2">
      <c r="A537" s="79" t="s">
        <v>787</v>
      </c>
      <c r="B537" s="79" t="s">
        <v>799</v>
      </c>
      <c r="C537" s="82">
        <v>2317055</v>
      </c>
      <c r="D537" s="82">
        <v>0</v>
      </c>
      <c r="E537" s="82">
        <v>2317055</v>
      </c>
      <c r="F537" s="79" t="s">
        <v>132</v>
      </c>
    </row>
    <row r="538" spans="1:6" x14ac:dyDescent="0.2">
      <c r="A538" s="79" t="s">
        <v>787</v>
      </c>
      <c r="B538" s="79" t="s">
        <v>800</v>
      </c>
      <c r="C538" s="82">
        <v>10670725</v>
      </c>
      <c r="D538" s="82">
        <v>10436416.18</v>
      </c>
      <c r="E538" s="82">
        <v>234308.82</v>
      </c>
      <c r="F538" s="79" t="s">
        <v>801</v>
      </c>
    </row>
    <row r="539" spans="1:6" x14ac:dyDescent="0.2">
      <c r="A539" s="79" t="s">
        <v>787</v>
      </c>
      <c r="B539" s="79" t="s">
        <v>132</v>
      </c>
      <c r="C539" s="82">
        <v>-183074560.66</v>
      </c>
      <c r="D539" s="82">
        <v>-175849468.15000001</v>
      </c>
      <c r="E539" s="82">
        <v>-7225092.5099999998</v>
      </c>
      <c r="F539" s="79" t="s">
        <v>802</v>
      </c>
    </row>
    <row r="540" spans="1:6" x14ac:dyDescent="0.2">
      <c r="A540" s="79" t="s">
        <v>770</v>
      </c>
      <c r="B540" s="79" t="s">
        <v>803</v>
      </c>
      <c r="C540" s="82">
        <v>-244796265.91</v>
      </c>
      <c r="D540" s="82">
        <v>-233955714.71000001</v>
      </c>
      <c r="E540" s="82">
        <v>-10840551.199999999</v>
      </c>
      <c r="F540" s="79" t="s">
        <v>183</v>
      </c>
    </row>
    <row r="541" spans="1:6" x14ac:dyDescent="0.2">
      <c r="A541" s="79" t="s">
        <v>804</v>
      </c>
      <c r="B541" s="79" t="s">
        <v>805</v>
      </c>
      <c r="C541" s="82">
        <v>0</v>
      </c>
      <c r="D541" s="82">
        <v>0</v>
      </c>
      <c r="E541" s="82">
        <v>0</v>
      </c>
      <c r="F541" s="79" t="s">
        <v>132</v>
      </c>
    </row>
    <row r="542" spans="1:6" x14ac:dyDescent="0.2">
      <c r="A542" s="79" t="s">
        <v>804</v>
      </c>
      <c r="B542" s="79" t="s">
        <v>806</v>
      </c>
      <c r="C542" s="82">
        <v>-3237343.6</v>
      </c>
      <c r="D542" s="82">
        <v>-2941666</v>
      </c>
      <c r="E542" s="82">
        <v>-295677.59999999998</v>
      </c>
      <c r="F542" s="79" t="s">
        <v>807</v>
      </c>
    </row>
    <row r="543" spans="1:6" x14ac:dyDescent="0.2">
      <c r="A543" s="79" t="s">
        <v>804</v>
      </c>
      <c r="B543" s="79" t="s">
        <v>808</v>
      </c>
      <c r="C543" s="82">
        <v>-3237343.6</v>
      </c>
      <c r="D543" s="82">
        <v>-2941666</v>
      </c>
      <c r="E543" s="82">
        <v>-295677.59999999998</v>
      </c>
      <c r="F543" s="79" t="s">
        <v>807</v>
      </c>
    </row>
    <row r="544" spans="1:6" x14ac:dyDescent="0.2">
      <c r="A544" s="79" t="s">
        <v>767</v>
      </c>
      <c r="B544" s="79" t="s">
        <v>809</v>
      </c>
      <c r="C544" s="82">
        <v>-248033609.50999999</v>
      </c>
      <c r="D544" s="82">
        <v>-236897380.71000001</v>
      </c>
      <c r="E544" s="82">
        <v>-11136228.800000001</v>
      </c>
      <c r="F544" s="79" t="s">
        <v>285</v>
      </c>
    </row>
    <row r="545" spans="1:6" x14ac:dyDescent="0.2">
      <c r="A545" s="79" t="s">
        <v>767</v>
      </c>
      <c r="B545" s="83" t="s">
        <v>810</v>
      </c>
      <c r="C545" s="82">
        <v>0</v>
      </c>
      <c r="D545" s="82">
        <v>0</v>
      </c>
      <c r="E545" s="82">
        <v>0</v>
      </c>
      <c r="F545" s="79" t="s">
        <v>132</v>
      </c>
    </row>
    <row r="546" spans="1:6" x14ac:dyDescent="0.2">
      <c r="A546" s="79" t="s">
        <v>811</v>
      </c>
      <c r="B546" s="79" t="s">
        <v>812</v>
      </c>
      <c r="C546" s="82">
        <v>0</v>
      </c>
      <c r="D546" s="82">
        <v>0</v>
      </c>
      <c r="E546" s="82">
        <v>0</v>
      </c>
      <c r="F546" s="79" t="s">
        <v>132</v>
      </c>
    </row>
    <row r="547" spans="1:6" x14ac:dyDescent="0.2">
      <c r="A547" s="79" t="s">
        <v>811</v>
      </c>
      <c r="B547" s="83" t="s">
        <v>260</v>
      </c>
      <c r="C547" s="82">
        <v>0</v>
      </c>
      <c r="D547" s="82">
        <v>0</v>
      </c>
      <c r="E547" s="82">
        <v>0</v>
      </c>
      <c r="F547" s="79" t="s">
        <v>132</v>
      </c>
    </row>
    <row r="548" spans="1:6" x14ac:dyDescent="0.2">
      <c r="A548" s="79" t="s">
        <v>813</v>
      </c>
      <c r="B548" s="79" t="s">
        <v>814</v>
      </c>
      <c r="C548" s="82">
        <v>-5844947.3600000003</v>
      </c>
      <c r="D548" s="82">
        <v>-5591534.8799999999</v>
      </c>
      <c r="E548" s="82">
        <v>-253412.48000000001</v>
      </c>
      <c r="F548" s="79" t="s">
        <v>794</v>
      </c>
    </row>
    <row r="549" spans="1:6" x14ac:dyDescent="0.2">
      <c r="A549" s="79" t="s">
        <v>813</v>
      </c>
      <c r="B549" s="79" t="s">
        <v>815</v>
      </c>
      <c r="C549" s="82">
        <v>-1497023.43</v>
      </c>
      <c r="D549" s="82">
        <v>-748235.79</v>
      </c>
      <c r="E549" s="82">
        <v>-748787.64</v>
      </c>
      <c r="F549" s="79" t="s">
        <v>816</v>
      </c>
    </row>
    <row r="550" spans="1:6" x14ac:dyDescent="0.2">
      <c r="A550" s="79" t="s">
        <v>813</v>
      </c>
      <c r="B550" s="79" t="s">
        <v>817</v>
      </c>
      <c r="C550" s="82">
        <v>-7341970.79</v>
      </c>
      <c r="D550" s="82">
        <v>-6339770.6699999999</v>
      </c>
      <c r="E550" s="82">
        <v>-1002200.12</v>
      </c>
      <c r="F550" s="79" t="s">
        <v>818</v>
      </c>
    </row>
    <row r="551" spans="1:6" x14ac:dyDescent="0.2">
      <c r="A551" s="79" t="s">
        <v>819</v>
      </c>
      <c r="B551" s="79" t="s">
        <v>820</v>
      </c>
      <c r="C551" s="82">
        <v>-989.55</v>
      </c>
      <c r="D551" s="82">
        <v>-832.7</v>
      </c>
      <c r="E551" s="82">
        <v>-156.85</v>
      </c>
      <c r="F551" s="79" t="s">
        <v>821</v>
      </c>
    </row>
    <row r="552" spans="1:6" x14ac:dyDescent="0.2">
      <c r="A552" s="79" t="s">
        <v>819</v>
      </c>
      <c r="B552" s="79" t="s">
        <v>822</v>
      </c>
      <c r="C552" s="82">
        <v>-1622558.86</v>
      </c>
      <c r="D552" s="82">
        <v>-1527050.44</v>
      </c>
      <c r="E552" s="82">
        <v>-95508.42</v>
      </c>
      <c r="F552" s="79" t="s">
        <v>780</v>
      </c>
    </row>
    <row r="553" spans="1:6" x14ac:dyDescent="0.2">
      <c r="A553" s="79" t="s">
        <v>819</v>
      </c>
      <c r="B553" s="79" t="s">
        <v>823</v>
      </c>
      <c r="C553" s="82">
        <v>-1067506.7</v>
      </c>
      <c r="D553" s="82">
        <v>-986826.1</v>
      </c>
      <c r="E553" s="82">
        <v>-80680.600000000006</v>
      </c>
      <c r="F553" s="79" t="s">
        <v>824</v>
      </c>
    </row>
    <row r="554" spans="1:6" x14ac:dyDescent="0.2">
      <c r="A554" s="79" t="s">
        <v>819</v>
      </c>
      <c r="B554" s="79" t="s">
        <v>825</v>
      </c>
      <c r="C554" s="82">
        <v>-27731.27</v>
      </c>
      <c r="D554" s="82">
        <v>-29937.46</v>
      </c>
      <c r="E554" s="82">
        <v>2206.19</v>
      </c>
      <c r="F554" s="79" t="s">
        <v>826</v>
      </c>
    </row>
    <row r="555" spans="1:6" x14ac:dyDescent="0.2">
      <c r="A555" s="79" t="s">
        <v>819</v>
      </c>
      <c r="B555" s="79" t="s">
        <v>827</v>
      </c>
      <c r="C555" s="82">
        <v>-450628.26</v>
      </c>
      <c r="D555" s="82">
        <v>-456018.78</v>
      </c>
      <c r="E555" s="82">
        <v>5390.52</v>
      </c>
      <c r="F555" s="79" t="s">
        <v>217</v>
      </c>
    </row>
    <row r="556" spans="1:6" x14ac:dyDescent="0.2">
      <c r="A556" s="79" t="s">
        <v>819</v>
      </c>
      <c r="B556" s="79" t="s">
        <v>828</v>
      </c>
      <c r="C556" s="82">
        <v>-3169414.64</v>
      </c>
      <c r="D556" s="82">
        <v>-3000665.48</v>
      </c>
      <c r="E556" s="82">
        <v>-168749.16</v>
      </c>
      <c r="F556" s="79" t="s">
        <v>829</v>
      </c>
    </row>
    <row r="557" spans="1:6" x14ac:dyDescent="0.2">
      <c r="A557" s="79" t="s">
        <v>811</v>
      </c>
      <c r="B557" s="79" t="s">
        <v>830</v>
      </c>
      <c r="C557" s="82">
        <v>-10511385.43</v>
      </c>
      <c r="D557" s="82">
        <v>-9340436.1500000004</v>
      </c>
      <c r="E557" s="82">
        <v>-1170949.28</v>
      </c>
      <c r="F557" s="79" t="s">
        <v>831</v>
      </c>
    </row>
    <row r="558" spans="1:6" x14ac:dyDescent="0.2">
      <c r="A558" s="79" t="s">
        <v>811</v>
      </c>
      <c r="B558" s="83" t="s">
        <v>644</v>
      </c>
      <c r="C558" s="82">
        <v>0</v>
      </c>
      <c r="D558" s="82">
        <v>0</v>
      </c>
      <c r="E558" s="82">
        <v>0</v>
      </c>
      <c r="F558" s="79" t="s">
        <v>132</v>
      </c>
    </row>
    <row r="559" spans="1:6" x14ac:dyDescent="0.2">
      <c r="A559" s="79" t="s">
        <v>832</v>
      </c>
      <c r="B559" s="79" t="s">
        <v>833</v>
      </c>
      <c r="C559" s="82">
        <v>0</v>
      </c>
      <c r="D559" s="82">
        <v>0</v>
      </c>
      <c r="E559" s="82">
        <v>0</v>
      </c>
      <c r="F559" s="79" t="s">
        <v>132</v>
      </c>
    </row>
    <row r="560" spans="1:6" x14ac:dyDescent="0.2">
      <c r="A560" s="79" t="s">
        <v>832</v>
      </c>
      <c r="B560" s="83" t="s">
        <v>834</v>
      </c>
      <c r="C560" s="82">
        <v>0</v>
      </c>
      <c r="D560" s="82">
        <v>0</v>
      </c>
      <c r="E560" s="82">
        <v>0</v>
      </c>
      <c r="F560" s="79" t="s">
        <v>132</v>
      </c>
    </row>
    <row r="561" spans="1:6" x14ac:dyDescent="0.2">
      <c r="A561" s="79" t="s">
        <v>832</v>
      </c>
      <c r="B561" s="79" t="s">
        <v>835</v>
      </c>
      <c r="C561" s="82">
        <v>-1415304.36</v>
      </c>
      <c r="D561" s="82">
        <v>-1101828</v>
      </c>
      <c r="E561" s="82">
        <v>-313476.36</v>
      </c>
      <c r="F561" s="79" t="s">
        <v>836</v>
      </c>
    </row>
    <row r="562" spans="1:6" x14ac:dyDescent="0.2">
      <c r="A562" s="79" t="s">
        <v>832</v>
      </c>
      <c r="B562" s="79" t="s">
        <v>837</v>
      </c>
      <c r="C562" s="82">
        <v>-1078826.5900000001</v>
      </c>
      <c r="D562" s="82">
        <v>-971606.49</v>
      </c>
      <c r="E562" s="82">
        <v>-107220.1</v>
      </c>
      <c r="F562" s="79" t="s">
        <v>838</v>
      </c>
    </row>
    <row r="563" spans="1:6" x14ac:dyDescent="0.2">
      <c r="A563" s="79" t="s">
        <v>832</v>
      </c>
      <c r="B563" s="79" t="s">
        <v>839</v>
      </c>
      <c r="C563" s="82">
        <v>-231863.81</v>
      </c>
      <c r="D563" s="82">
        <v>-223769.07</v>
      </c>
      <c r="E563" s="82">
        <v>-8094.74</v>
      </c>
      <c r="F563" s="79" t="s">
        <v>840</v>
      </c>
    </row>
    <row r="564" spans="1:6" x14ac:dyDescent="0.2">
      <c r="A564" s="79" t="s">
        <v>832</v>
      </c>
      <c r="B564" s="79" t="s">
        <v>841</v>
      </c>
      <c r="C564" s="82">
        <v>-1110992.06</v>
      </c>
      <c r="D564" s="82">
        <v>-1136934.6299999999</v>
      </c>
      <c r="E564" s="82">
        <v>25942.57</v>
      </c>
      <c r="F564" s="79" t="s">
        <v>842</v>
      </c>
    </row>
    <row r="565" spans="1:6" x14ac:dyDescent="0.2">
      <c r="A565" s="79" t="s">
        <v>832</v>
      </c>
      <c r="B565" s="79" t="s">
        <v>843</v>
      </c>
      <c r="C565" s="82">
        <v>-205955.93</v>
      </c>
      <c r="D565" s="82">
        <v>-238550.07</v>
      </c>
      <c r="E565" s="82">
        <v>32594.14</v>
      </c>
      <c r="F565" s="79" t="s">
        <v>844</v>
      </c>
    </row>
    <row r="566" spans="1:6" x14ac:dyDescent="0.2">
      <c r="A566" s="79" t="s">
        <v>832</v>
      </c>
      <c r="B566" s="79" t="s">
        <v>845</v>
      </c>
      <c r="C566" s="82">
        <v>-224555.4</v>
      </c>
      <c r="D566" s="82">
        <v>-227410.32</v>
      </c>
      <c r="E566" s="82">
        <v>2854.92</v>
      </c>
      <c r="F566" s="79" t="s">
        <v>730</v>
      </c>
    </row>
    <row r="567" spans="1:6" x14ac:dyDescent="0.2">
      <c r="A567" s="79" t="s">
        <v>832</v>
      </c>
      <c r="B567" s="79" t="s">
        <v>846</v>
      </c>
      <c r="C567" s="82">
        <v>-245202.02</v>
      </c>
      <c r="D567" s="82">
        <v>-248093.21</v>
      </c>
      <c r="E567" s="82">
        <v>2891.19</v>
      </c>
      <c r="F567" s="79" t="s">
        <v>217</v>
      </c>
    </row>
    <row r="568" spans="1:6" x14ac:dyDescent="0.2">
      <c r="A568" s="79" t="s">
        <v>832</v>
      </c>
      <c r="B568" s="79" t="s">
        <v>847</v>
      </c>
      <c r="C568" s="82">
        <v>-7458709.1399999997</v>
      </c>
      <c r="D568" s="82">
        <v>-6309340.9699999997</v>
      </c>
      <c r="E568" s="82">
        <v>-1149368.17</v>
      </c>
      <c r="F568" s="79" t="s">
        <v>848</v>
      </c>
    </row>
    <row r="569" spans="1:6" x14ac:dyDescent="0.2">
      <c r="A569" s="79" t="s">
        <v>832</v>
      </c>
      <c r="B569" s="79" t="s">
        <v>849</v>
      </c>
      <c r="C569" s="82">
        <v>-6053784.3200000003</v>
      </c>
      <c r="D569" s="82">
        <v>-5843144.5899999999</v>
      </c>
      <c r="E569" s="82">
        <v>-210639.73</v>
      </c>
      <c r="F569" s="79" t="s">
        <v>840</v>
      </c>
    </row>
    <row r="570" spans="1:6" x14ac:dyDescent="0.2">
      <c r="A570" s="79" t="s">
        <v>832</v>
      </c>
      <c r="B570" s="79" t="s">
        <v>850</v>
      </c>
      <c r="C570" s="82">
        <v>-364634.52</v>
      </c>
      <c r="D570" s="82">
        <v>-364634.52</v>
      </c>
      <c r="E570" s="82">
        <v>0</v>
      </c>
      <c r="F570" s="79" t="s">
        <v>179</v>
      </c>
    </row>
    <row r="571" spans="1:6" x14ac:dyDescent="0.2">
      <c r="A571" s="79" t="s">
        <v>832</v>
      </c>
      <c r="B571" s="79" t="s">
        <v>851</v>
      </c>
      <c r="C571" s="82">
        <v>-594569.34</v>
      </c>
      <c r="D571" s="82">
        <v>-553805.18999999994</v>
      </c>
      <c r="E571" s="82">
        <v>-40764.15</v>
      </c>
      <c r="F571" s="79" t="s">
        <v>852</v>
      </c>
    </row>
    <row r="572" spans="1:6" x14ac:dyDescent="0.2">
      <c r="A572" s="79" t="s">
        <v>832</v>
      </c>
      <c r="B572" s="79" t="s">
        <v>853</v>
      </c>
      <c r="C572" s="82">
        <v>-22865652.170000002</v>
      </c>
      <c r="D572" s="82">
        <v>-21935160.199999999</v>
      </c>
      <c r="E572" s="82">
        <v>-930491.97</v>
      </c>
      <c r="F572" s="79" t="s">
        <v>854</v>
      </c>
    </row>
    <row r="573" spans="1:6" x14ac:dyDescent="0.2">
      <c r="A573" s="79" t="s">
        <v>832</v>
      </c>
      <c r="B573" s="79" t="s">
        <v>855</v>
      </c>
      <c r="C573" s="82">
        <v>-985716.79</v>
      </c>
      <c r="D573" s="82">
        <v>-972588.58</v>
      </c>
      <c r="E573" s="82">
        <v>-13128.21</v>
      </c>
      <c r="F573" s="79" t="s">
        <v>447</v>
      </c>
    </row>
    <row r="574" spans="1:6" x14ac:dyDescent="0.2">
      <c r="A574" s="79" t="s">
        <v>832</v>
      </c>
      <c r="B574" s="79" t="s">
        <v>856</v>
      </c>
      <c r="C574" s="82">
        <v>-928297.77</v>
      </c>
      <c r="D574" s="82">
        <v>-983197.59</v>
      </c>
      <c r="E574" s="82">
        <v>54899.82</v>
      </c>
      <c r="F574" s="79" t="s">
        <v>857</v>
      </c>
    </row>
    <row r="575" spans="1:6" x14ac:dyDescent="0.2">
      <c r="A575" s="79" t="s">
        <v>832</v>
      </c>
      <c r="B575" s="79" t="s">
        <v>858</v>
      </c>
      <c r="C575" s="82">
        <v>-74502638.030000001</v>
      </c>
      <c r="D575" s="82">
        <v>-70681099.090000004</v>
      </c>
      <c r="E575" s="82">
        <v>-3821538.94</v>
      </c>
      <c r="F575" s="79" t="s">
        <v>859</v>
      </c>
    </row>
    <row r="576" spans="1:6" x14ac:dyDescent="0.2">
      <c r="A576" s="79" t="s">
        <v>832</v>
      </c>
      <c r="B576" s="79" t="s">
        <v>860</v>
      </c>
      <c r="C576" s="82">
        <v>-1656601.39</v>
      </c>
      <c r="D576" s="82">
        <v>-1698759.53</v>
      </c>
      <c r="E576" s="82">
        <v>42158.14</v>
      </c>
      <c r="F576" s="79" t="s">
        <v>757</v>
      </c>
    </row>
    <row r="577" spans="1:6" x14ac:dyDescent="0.2">
      <c r="A577" s="79" t="s">
        <v>832</v>
      </c>
      <c r="B577" s="79" t="s">
        <v>861</v>
      </c>
      <c r="C577" s="82">
        <v>-187679.8</v>
      </c>
      <c r="D577" s="82">
        <v>-174846.9</v>
      </c>
      <c r="E577" s="82">
        <v>-12832.9</v>
      </c>
      <c r="F577" s="79" t="s">
        <v>862</v>
      </c>
    </row>
    <row r="578" spans="1:6" x14ac:dyDescent="0.2">
      <c r="A578" s="79" t="s">
        <v>832</v>
      </c>
      <c r="B578" s="79" t="s">
        <v>863</v>
      </c>
      <c r="C578" s="82">
        <v>-2220000</v>
      </c>
      <c r="D578" s="82">
        <v>-2220000</v>
      </c>
      <c r="E578" s="82">
        <v>0</v>
      </c>
      <c r="F578" s="79" t="s">
        <v>179</v>
      </c>
    </row>
    <row r="579" spans="1:6" x14ac:dyDescent="0.2">
      <c r="A579" s="79" t="s">
        <v>832</v>
      </c>
      <c r="B579" s="79" t="s">
        <v>864</v>
      </c>
      <c r="C579" s="82">
        <v>-122330983.44</v>
      </c>
      <c r="D579" s="82">
        <v>-115884768.95</v>
      </c>
      <c r="E579" s="82">
        <v>-6446214.4900000002</v>
      </c>
      <c r="F579" s="79" t="s">
        <v>829</v>
      </c>
    </row>
    <row r="580" spans="1:6" x14ac:dyDescent="0.2">
      <c r="A580" s="79" t="s">
        <v>832</v>
      </c>
      <c r="B580" s="83" t="s">
        <v>865</v>
      </c>
      <c r="C580" s="82">
        <v>0</v>
      </c>
      <c r="D580" s="82">
        <v>0</v>
      </c>
      <c r="E580" s="82">
        <v>0</v>
      </c>
      <c r="F580" s="79" t="s">
        <v>132</v>
      </c>
    </row>
    <row r="581" spans="1:6" x14ac:dyDescent="0.2">
      <c r="A581" s="79" t="s">
        <v>866</v>
      </c>
      <c r="B581" s="79" t="s">
        <v>867</v>
      </c>
      <c r="C581" s="82">
        <v>0</v>
      </c>
      <c r="D581" s="82">
        <v>0</v>
      </c>
      <c r="E581" s="82">
        <v>0</v>
      </c>
      <c r="F581" s="79" t="s">
        <v>132</v>
      </c>
    </row>
    <row r="582" spans="1:6" x14ac:dyDescent="0.2">
      <c r="A582" s="79" t="s">
        <v>866</v>
      </c>
      <c r="B582" s="83" t="s">
        <v>868</v>
      </c>
      <c r="C582" s="82">
        <v>0</v>
      </c>
      <c r="D582" s="82">
        <v>0</v>
      </c>
      <c r="E582" s="82">
        <v>0</v>
      </c>
      <c r="F582" s="79" t="s">
        <v>132</v>
      </c>
    </row>
    <row r="583" spans="1:6" x14ac:dyDescent="0.2">
      <c r="A583" s="79" t="s">
        <v>866</v>
      </c>
      <c r="B583" s="79" t="s">
        <v>869</v>
      </c>
      <c r="C583" s="82">
        <v>-2065554.15</v>
      </c>
      <c r="D583" s="82">
        <v>-1390150.28</v>
      </c>
      <c r="E583" s="82">
        <v>-675403.87</v>
      </c>
      <c r="F583" s="79" t="s">
        <v>870</v>
      </c>
    </row>
    <row r="584" spans="1:6" x14ac:dyDescent="0.2">
      <c r="A584" s="79" t="s">
        <v>866</v>
      </c>
      <c r="B584" s="79" t="s">
        <v>871</v>
      </c>
      <c r="C584" s="82">
        <v>182000</v>
      </c>
      <c r="D584" s="82">
        <v>-657577.23</v>
      </c>
      <c r="E584" s="82">
        <v>839577.23</v>
      </c>
      <c r="F584" s="79" t="s">
        <v>872</v>
      </c>
    </row>
    <row r="585" spans="1:6" x14ac:dyDescent="0.2">
      <c r="A585" s="79" t="s">
        <v>866</v>
      </c>
      <c r="B585" s="79" t="s">
        <v>873</v>
      </c>
      <c r="C585" s="82">
        <v>-4472968.42</v>
      </c>
      <c r="D585" s="82">
        <v>-4041894.33</v>
      </c>
      <c r="E585" s="82">
        <v>-431074.09</v>
      </c>
      <c r="F585" s="79" t="s">
        <v>874</v>
      </c>
    </row>
    <row r="586" spans="1:6" x14ac:dyDescent="0.2">
      <c r="A586" s="79" t="s">
        <v>866</v>
      </c>
      <c r="B586" s="79" t="s">
        <v>875</v>
      </c>
      <c r="C586" s="82">
        <v>-14365149.939999999</v>
      </c>
      <c r="D586" s="82">
        <v>-12982852.34</v>
      </c>
      <c r="E586" s="82">
        <v>-1382297.6000000001</v>
      </c>
      <c r="F586" s="79" t="s">
        <v>876</v>
      </c>
    </row>
    <row r="587" spans="1:6" x14ac:dyDescent="0.2">
      <c r="A587" s="79" t="s">
        <v>866</v>
      </c>
      <c r="B587" s="79" t="s">
        <v>877</v>
      </c>
      <c r="C587" s="82">
        <v>-126765.94</v>
      </c>
      <c r="D587" s="82">
        <v>-152159.57</v>
      </c>
      <c r="E587" s="82">
        <v>25393.63</v>
      </c>
      <c r="F587" s="79" t="s">
        <v>418</v>
      </c>
    </row>
    <row r="588" spans="1:6" x14ac:dyDescent="0.2">
      <c r="A588" s="79" t="s">
        <v>866</v>
      </c>
      <c r="B588" s="79" t="s">
        <v>878</v>
      </c>
      <c r="C588" s="82">
        <v>-11229478.960000001</v>
      </c>
      <c r="D588" s="82">
        <v>-11212081.720000001</v>
      </c>
      <c r="E588" s="82">
        <v>-17397.240000000002</v>
      </c>
      <c r="F588" s="79" t="s">
        <v>879</v>
      </c>
    </row>
    <row r="589" spans="1:6" x14ac:dyDescent="0.2">
      <c r="A589" s="79" t="s">
        <v>866</v>
      </c>
      <c r="B589" s="79" t="s">
        <v>880</v>
      </c>
      <c r="C589" s="82">
        <v>-1259159.01</v>
      </c>
      <c r="D589" s="82">
        <v>-1057897.6299999999</v>
      </c>
      <c r="E589" s="82">
        <v>-201261.38</v>
      </c>
      <c r="F589" s="79" t="s">
        <v>881</v>
      </c>
    </row>
    <row r="590" spans="1:6" x14ac:dyDescent="0.2">
      <c r="A590" s="79" t="s">
        <v>866</v>
      </c>
      <c r="B590" s="79" t="s">
        <v>882</v>
      </c>
      <c r="C590" s="82">
        <v>-8129154.1799999997</v>
      </c>
      <c r="D590" s="82">
        <v>-7781482.7199999997</v>
      </c>
      <c r="E590" s="82">
        <v>-347671.46</v>
      </c>
      <c r="F590" s="79" t="s">
        <v>794</v>
      </c>
    </row>
    <row r="591" spans="1:6" x14ac:dyDescent="0.2">
      <c r="A591" s="79" t="s">
        <v>866</v>
      </c>
      <c r="B591" s="79" t="s">
        <v>883</v>
      </c>
      <c r="C591" s="82">
        <v>-424290.38</v>
      </c>
      <c r="D591" s="82">
        <v>-493717.37</v>
      </c>
      <c r="E591" s="82">
        <v>69426.990000000005</v>
      </c>
      <c r="F591" s="79" t="s">
        <v>636</v>
      </c>
    </row>
    <row r="592" spans="1:6" x14ac:dyDescent="0.2">
      <c r="A592" s="79" t="s">
        <v>866</v>
      </c>
      <c r="B592" s="79" t="s">
        <v>884</v>
      </c>
      <c r="C592" s="82">
        <v>-2501361.56</v>
      </c>
      <c r="D592" s="82">
        <v>-2603169.2400000002</v>
      </c>
      <c r="E592" s="82">
        <v>101807.67999999999</v>
      </c>
      <c r="F592" s="79" t="s">
        <v>618</v>
      </c>
    </row>
    <row r="593" spans="1:6" x14ac:dyDescent="0.2">
      <c r="A593" s="79" t="s">
        <v>866</v>
      </c>
      <c r="B593" s="79" t="s">
        <v>885</v>
      </c>
      <c r="C593" s="82">
        <v>-3988.72</v>
      </c>
      <c r="D593" s="82">
        <v>-4554.46</v>
      </c>
      <c r="E593" s="82">
        <v>565.74</v>
      </c>
      <c r="F593" s="79" t="s">
        <v>886</v>
      </c>
    </row>
    <row r="594" spans="1:6" x14ac:dyDescent="0.2">
      <c r="A594" s="79" t="s">
        <v>866</v>
      </c>
      <c r="B594" s="79" t="s">
        <v>887</v>
      </c>
      <c r="C594" s="82">
        <v>-286689.31</v>
      </c>
      <c r="D594" s="82">
        <v>-326880.58</v>
      </c>
      <c r="E594" s="82">
        <v>40191.269999999997</v>
      </c>
      <c r="F594" s="79" t="s">
        <v>888</v>
      </c>
    </row>
    <row r="595" spans="1:6" x14ac:dyDescent="0.2">
      <c r="A595" s="79" t="s">
        <v>866</v>
      </c>
      <c r="B595" s="79" t="s">
        <v>889</v>
      </c>
      <c r="C595" s="82">
        <v>-44682560.57</v>
      </c>
      <c r="D595" s="82">
        <v>-42704417.469999999</v>
      </c>
      <c r="E595" s="82">
        <v>-1978143.1</v>
      </c>
      <c r="F595" s="79" t="s">
        <v>183</v>
      </c>
    </row>
    <row r="596" spans="1:6" x14ac:dyDescent="0.2">
      <c r="A596" s="79" t="s">
        <v>866</v>
      </c>
      <c r="B596" s="83" t="s">
        <v>644</v>
      </c>
      <c r="C596" s="82">
        <v>0</v>
      </c>
      <c r="D596" s="82">
        <v>0</v>
      </c>
      <c r="E596" s="82">
        <v>0</v>
      </c>
      <c r="F596" s="79" t="s">
        <v>132</v>
      </c>
    </row>
    <row r="597" spans="1:6" x14ac:dyDescent="0.2">
      <c r="A597" s="79" t="s">
        <v>890</v>
      </c>
      <c r="B597" s="79" t="s">
        <v>891</v>
      </c>
      <c r="C597" s="82">
        <v>0</v>
      </c>
      <c r="D597" s="82">
        <v>0</v>
      </c>
      <c r="E597" s="82">
        <v>0</v>
      </c>
      <c r="F597" s="79" t="s">
        <v>132</v>
      </c>
    </row>
    <row r="598" spans="1:6" x14ac:dyDescent="0.2">
      <c r="A598" s="79" t="s">
        <v>890</v>
      </c>
      <c r="B598" s="83" t="s">
        <v>892</v>
      </c>
      <c r="C598" s="82">
        <v>0</v>
      </c>
      <c r="D598" s="82">
        <v>0</v>
      </c>
      <c r="E598" s="82">
        <v>0</v>
      </c>
      <c r="F598" s="79" t="s">
        <v>132</v>
      </c>
    </row>
    <row r="599" spans="1:6" x14ac:dyDescent="0.2">
      <c r="A599" s="79" t="s">
        <v>890</v>
      </c>
      <c r="B599" s="79" t="s">
        <v>893</v>
      </c>
      <c r="C599" s="82">
        <v>0</v>
      </c>
      <c r="D599" s="82">
        <v>-55219.27</v>
      </c>
      <c r="E599" s="82">
        <v>55219.27</v>
      </c>
      <c r="F599" s="79" t="s">
        <v>401</v>
      </c>
    </row>
    <row r="600" spans="1:6" x14ac:dyDescent="0.2">
      <c r="A600" s="79" t="s">
        <v>890</v>
      </c>
      <c r="B600" s="79" t="s">
        <v>894</v>
      </c>
      <c r="C600" s="82">
        <v>-357443.87</v>
      </c>
      <c r="D600" s="82">
        <v>-254292.18</v>
      </c>
      <c r="E600" s="82">
        <v>-103151.69</v>
      </c>
      <c r="F600" s="79" t="s">
        <v>895</v>
      </c>
    </row>
    <row r="601" spans="1:6" x14ac:dyDescent="0.2">
      <c r="A601" s="79" t="s">
        <v>890</v>
      </c>
      <c r="B601" s="79" t="s">
        <v>896</v>
      </c>
      <c r="C601" s="82">
        <v>-101653.69</v>
      </c>
      <c r="D601" s="82">
        <v>-86808.57</v>
      </c>
      <c r="E601" s="82">
        <v>-14845.12</v>
      </c>
      <c r="F601" s="79" t="s">
        <v>897</v>
      </c>
    </row>
    <row r="602" spans="1:6" x14ac:dyDescent="0.2">
      <c r="A602" s="79" t="s">
        <v>890</v>
      </c>
      <c r="B602" s="79" t="s">
        <v>898</v>
      </c>
      <c r="C602" s="82">
        <v>-328876.56</v>
      </c>
      <c r="D602" s="82">
        <v>-321632.32</v>
      </c>
      <c r="E602" s="82">
        <v>-7244.24</v>
      </c>
      <c r="F602" s="79" t="s">
        <v>899</v>
      </c>
    </row>
    <row r="603" spans="1:6" x14ac:dyDescent="0.2">
      <c r="A603" s="79" t="s">
        <v>890</v>
      </c>
      <c r="B603" s="79" t="s">
        <v>900</v>
      </c>
      <c r="C603" s="82">
        <v>-4660.03</v>
      </c>
      <c r="D603" s="82">
        <v>-4797.22</v>
      </c>
      <c r="E603" s="82">
        <v>137.19</v>
      </c>
      <c r="F603" s="79" t="s">
        <v>901</v>
      </c>
    </row>
    <row r="604" spans="1:6" x14ac:dyDescent="0.2">
      <c r="A604" s="79" t="s">
        <v>890</v>
      </c>
      <c r="B604" s="79" t="s">
        <v>902</v>
      </c>
      <c r="C604" s="82">
        <v>-149100.82</v>
      </c>
      <c r="D604" s="82">
        <v>-144008.01999999999</v>
      </c>
      <c r="E604" s="82">
        <v>-5092.8</v>
      </c>
      <c r="F604" s="79" t="s">
        <v>903</v>
      </c>
    </row>
    <row r="605" spans="1:6" x14ac:dyDescent="0.2">
      <c r="A605" s="79" t="s">
        <v>890</v>
      </c>
      <c r="B605" s="79" t="s">
        <v>904</v>
      </c>
      <c r="C605" s="82">
        <v>-11727.91</v>
      </c>
      <c r="D605" s="82">
        <v>-12840.92</v>
      </c>
      <c r="E605" s="82">
        <v>1113.01</v>
      </c>
      <c r="F605" s="79" t="s">
        <v>905</v>
      </c>
    </row>
    <row r="606" spans="1:6" x14ac:dyDescent="0.2">
      <c r="A606" s="79" t="s">
        <v>890</v>
      </c>
      <c r="B606" s="79" t="s">
        <v>906</v>
      </c>
      <c r="C606" s="82">
        <v>-34016.07</v>
      </c>
      <c r="D606" s="82">
        <v>-29382.98</v>
      </c>
      <c r="E606" s="82">
        <v>-4633.09</v>
      </c>
      <c r="F606" s="79" t="s">
        <v>818</v>
      </c>
    </row>
    <row r="607" spans="1:6" x14ac:dyDescent="0.2">
      <c r="A607" s="79" t="s">
        <v>890</v>
      </c>
      <c r="B607" s="79" t="s">
        <v>907</v>
      </c>
      <c r="C607" s="82">
        <v>-51094.8</v>
      </c>
      <c r="D607" s="82">
        <v>-23224.25</v>
      </c>
      <c r="E607" s="82">
        <v>-27870.55</v>
      </c>
      <c r="F607" s="79" t="s">
        <v>908</v>
      </c>
    </row>
    <row r="608" spans="1:6" x14ac:dyDescent="0.2">
      <c r="A608" s="79" t="s">
        <v>890</v>
      </c>
      <c r="B608" s="79" t="s">
        <v>909</v>
      </c>
      <c r="C608" s="82">
        <v>-3225305.09</v>
      </c>
      <c r="D608" s="82">
        <v>-2936070.95</v>
      </c>
      <c r="E608" s="82">
        <v>-289234.14</v>
      </c>
      <c r="F608" s="79" t="s">
        <v>910</v>
      </c>
    </row>
    <row r="609" spans="1:6" x14ac:dyDescent="0.2">
      <c r="A609" s="79" t="s">
        <v>890</v>
      </c>
      <c r="B609" s="79" t="s">
        <v>911</v>
      </c>
      <c r="C609" s="82">
        <v>-37139.5</v>
      </c>
      <c r="D609" s="82">
        <v>-38785.519999999997</v>
      </c>
      <c r="E609" s="82">
        <v>1646.02</v>
      </c>
      <c r="F609" s="79" t="s">
        <v>912</v>
      </c>
    </row>
    <row r="610" spans="1:6" x14ac:dyDescent="0.2">
      <c r="A610" s="79" t="s">
        <v>890</v>
      </c>
      <c r="B610" s="79" t="s">
        <v>913</v>
      </c>
      <c r="C610" s="82">
        <v>-4633935.26</v>
      </c>
      <c r="D610" s="82">
        <v>-3970683.11</v>
      </c>
      <c r="E610" s="82">
        <v>-663252.15</v>
      </c>
      <c r="F610" s="79" t="s">
        <v>914</v>
      </c>
    </row>
    <row r="611" spans="1:6" x14ac:dyDescent="0.2">
      <c r="A611" s="79" t="s">
        <v>890</v>
      </c>
      <c r="B611" s="79" t="s">
        <v>915</v>
      </c>
      <c r="C611" s="82">
        <v>-1575117.08</v>
      </c>
      <c r="D611" s="82">
        <v>-1311708.1200000001</v>
      </c>
      <c r="E611" s="82">
        <v>-263408.96000000002</v>
      </c>
      <c r="F611" s="79" t="s">
        <v>916</v>
      </c>
    </row>
    <row r="612" spans="1:6" x14ac:dyDescent="0.2">
      <c r="A612" s="79" t="s">
        <v>890</v>
      </c>
      <c r="B612" s="79" t="s">
        <v>917</v>
      </c>
      <c r="C612" s="82">
        <v>-2774344.13</v>
      </c>
      <c r="D612" s="82">
        <v>-2838872.42</v>
      </c>
      <c r="E612" s="82">
        <v>64528.29</v>
      </c>
      <c r="F612" s="79" t="s">
        <v>842</v>
      </c>
    </row>
    <row r="613" spans="1:6" x14ac:dyDescent="0.2">
      <c r="A613" s="79" t="s">
        <v>890</v>
      </c>
      <c r="B613" s="79" t="s">
        <v>918</v>
      </c>
      <c r="C613" s="82">
        <v>-351577.52</v>
      </c>
      <c r="D613" s="82">
        <v>-340719.82</v>
      </c>
      <c r="E613" s="82">
        <v>-10857.7</v>
      </c>
      <c r="F613" s="79" t="s">
        <v>919</v>
      </c>
    </row>
    <row r="614" spans="1:6" x14ac:dyDescent="0.2">
      <c r="A614" s="79" t="s">
        <v>890</v>
      </c>
      <c r="B614" s="79" t="s">
        <v>920</v>
      </c>
      <c r="C614" s="82">
        <v>-262753.28000000003</v>
      </c>
      <c r="D614" s="82">
        <v>-258522.51</v>
      </c>
      <c r="E614" s="82">
        <v>-4230.7700000000004</v>
      </c>
      <c r="F614" s="79" t="s">
        <v>921</v>
      </c>
    </row>
    <row r="615" spans="1:6" x14ac:dyDescent="0.2">
      <c r="A615" s="79" t="s">
        <v>890</v>
      </c>
      <c r="B615" s="79" t="s">
        <v>922</v>
      </c>
      <c r="C615" s="82">
        <v>-65883.55</v>
      </c>
      <c r="D615" s="82">
        <v>-77232.160000000003</v>
      </c>
      <c r="E615" s="82">
        <v>11348.61</v>
      </c>
      <c r="F615" s="79" t="s">
        <v>923</v>
      </c>
    </row>
    <row r="616" spans="1:6" x14ac:dyDescent="0.2">
      <c r="A616" s="79" t="s">
        <v>890</v>
      </c>
      <c r="B616" s="79" t="s">
        <v>924</v>
      </c>
      <c r="C616" s="82">
        <v>-2121405.64</v>
      </c>
      <c r="D616" s="82">
        <v>-2045509.13</v>
      </c>
      <c r="E616" s="82">
        <v>-75896.509999999995</v>
      </c>
      <c r="F616" s="79" t="s">
        <v>925</v>
      </c>
    </row>
    <row r="617" spans="1:6" x14ac:dyDescent="0.2">
      <c r="A617" s="79" t="s">
        <v>890</v>
      </c>
      <c r="B617" s="79" t="s">
        <v>926</v>
      </c>
      <c r="C617" s="82">
        <v>-229916.07</v>
      </c>
      <c r="D617" s="82">
        <v>-103474.86</v>
      </c>
      <c r="E617" s="82">
        <v>-126441.21</v>
      </c>
      <c r="F617" s="79" t="s">
        <v>927</v>
      </c>
    </row>
    <row r="618" spans="1:6" x14ac:dyDescent="0.2">
      <c r="A618" s="79" t="s">
        <v>890</v>
      </c>
      <c r="B618" s="79" t="s">
        <v>928</v>
      </c>
      <c r="C618" s="82">
        <v>-295980.71999999997</v>
      </c>
      <c r="D618" s="82">
        <v>-295980.71999999997</v>
      </c>
      <c r="E618" s="82">
        <v>0</v>
      </c>
      <c r="F618" s="79" t="s">
        <v>179</v>
      </c>
    </row>
    <row r="619" spans="1:6" x14ac:dyDescent="0.2">
      <c r="A619" s="79" t="s">
        <v>890</v>
      </c>
      <c r="B619" s="79" t="s">
        <v>929</v>
      </c>
      <c r="C619" s="82">
        <v>-16611931.59</v>
      </c>
      <c r="D619" s="82">
        <v>-15149765.050000001</v>
      </c>
      <c r="E619" s="82">
        <v>-1462166.54</v>
      </c>
      <c r="F619" s="79" t="s">
        <v>930</v>
      </c>
    </row>
    <row r="620" spans="1:6" x14ac:dyDescent="0.2">
      <c r="A620" s="79" t="s">
        <v>890</v>
      </c>
      <c r="B620" s="83" t="s">
        <v>931</v>
      </c>
      <c r="C620" s="82">
        <v>0</v>
      </c>
      <c r="D620" s="82">
        <v>0</v>
      </c>
      <c r="E620" s="82">
        <v>0</v>
      </c>
      <c r="F620" s="79" t="s">
        <v>132</v>
      </c>
    </row>
    <row r="621" spans="1:6" x14ac:dyDescent="0.2">
      <c r="A621" s="79" t="s">
        <v>932</v>
      </c>
      <c r="B621" s="79" t="s">
        <v>933</v>
      </c>
      <c r="C621" s="82">
        <v>0</v>
      </c>
      <c r="D621" s="82">
        <v>0</v>
      </c>
      <c r="E621" s="82">
        <v>0</v>
      </c>
      <c r="F621" s="79" t="s">
        <v>132</v>
      </c>
    </row>
    <row r="622" spans="1:6" x14ac:dyDescent="0.2">
      <c r="A622" s="79" t="s">
        <v>932</v>
      </c>
      <c r="B622" s="83" t="s">
        <v>769</v>
      </c>
      <c r="C622" s="82">
        <v>0</v>
      </c>
      <c r="D622" s="82">
        <v>0</v>
      </c>
      <c r="E622" s="82">
        <v>0</v>
      </c>
      <c r="F622" s="79" t="s">
        <v>132</v>
      </c>
    </row>
    <row r="623" spans="1:6" x14ac:dyDescent="0.2">
      <c r="A623" s="79" t="s">
        <v>934</v>
      </c>
      <c r="B623" s="79" t="s">
        <v>935</v>
      </c>
      <c r="C623" s="82">
        <v>-7156311.8700000001</v>
      </c>
      <c r="D623" s="82">
        <v>-6316984.7599999998</v>
      </c>
      <c r="E623" s="82">
        <v>-839327.11</v>
      </c>
      <c r="F623" s="79" t="s">
        <v>936</v>
      </c>
    </row>
    <row r="624" spans="1:6" x14ac:dyDescent="0.2">
      <c r="A624" s="79" t="s">
        <v>934</v>
      </c>
      <c r="B624" s="79" t="s">
        <v>937</v>
      </c>
      <c r="C624" s="82">
        <v>-3973830.6</v>
      </c>
      <c r="D624" s="82">
        <v>-3677339.43</v>
      </c>
      <c r="E624" s="82">
        <v>-296491.17</v>
      </c>
      <c r="F624" s="79" t="s">
        <v>938</v>
      </c>
    </row>
    <row r="625" spans="1:6" x14ac:dyDescent="0.2">
      <c r="A625" s="79" t="s">
        <v>934</v>
      </c>
      <c r="B625" s="79" t="s">
        <v>939</v>
      </c>
      <c r="C625" s="82">
        <v>-1045416.29</v>
      </c>
      <c r="D625" s="82">
        <v>-992535.53</v>
      </c>
      <c r="E625" s="82">
        <v>-52880.76</v>
      </c>
      <c r="F625" s="79" t="s">
        <v>940</v>
      </c>
    </row>
    <row r="626" spans="1:6" x14ac:dyDescent="0.2">
      <c r="A626" s="79" t="s">
        <v>934</v>
      </c>
      <c r="B626" s="79" t="s">
        <v>941</v>
      </c>
      <c r="C626" s="82">
        <v>-2075744.15</v>
      </c>
      <c r="D626" s="82">
        <v>-1363698.02</v>
      </c>
      <c r="E626" s="82">
        <v>-712046.13</v>
      </c>
      <c r="F626" s="79" t="s">
        <v>942</v>
      </c>
    </row>
    <row r="627" spans="1:6" x14ac:dyDescent="0.2">
      <c r="A627" s="79" t="s">
        <v>934</v>
      </c>
      <c r="B627" s="79" t="s">
        <v>943</v>
      </c>
      <c r="C627" s="82">
        <v>-5532630.21</v>
      </c>
      <c r="D627" s="82">
        <v>-5477595.6600000001</v>
      </c>
      <c r="E627" s="82">
        <v>-55034.55</v>
      </c>
      <c r="F627" s="79" t="s">
        <v>944</v>
      </c>
    </row>
    <row r="628" spans="1:6" x14ac:dyDescent="0.2">
      <c r="A628" s="79" t="s">
        <v>934</v>
      </c>
      <c r="B628" s="79" t="s">
        <v>945</v>
      </c>
      <c r="C628" s="82">
        <v>-860291.76</v>
      </c>
      <c r="D628" s="82">
        <v>-914028.48</v>
      </c>
      <c r="E628" s="82">
        <v>53736.72</v>
      </c>
      <c r="F628" s="79" t="s">
        <v>563</v>
      </c>
    </row>
    <row r="629" spans="1:6" x14ac:dyDescent="0.2">
      <c r="A629" s="79" t="s">
        <v>934</v>
      </c>
      <c r="B629" s="79" t="s">
        <v>946</v>
      </c>
      <c r="C629" s="82">
        <v>-3049048.73</v>
      </c>
      <c r="D629" s="82">
        <v>-2777601.91</v>
      </c>
      <c r="E629" s="82">
        <v>-271446.82</v>
      </c>
      <c r="F629" s="79" t="s">
        <v>947</v>
      </c>
    </row>
    <row r="630" spans="1:6" x14ac:dyDescent="0.2">
      <c r="A630" s="79" t="s">
        <v>934</v>
      </c>
      <c r="B630" s="79" t="s">
        <v>948</v>
      </c>
      <c r="C630" s="82">
        <v>-1364736.33</v>
      </c>
      <c r="D630" s="82">
        <v>-1494410.57</v>
      </c>
      <c r="E630" s="82">
        <v>129674.24000000001</v>
      </c>
      <c r="F630" s="79" t="s">
        <v>905</v>
      </c>
    </row>
    <row r="631" spans="1:6" x14ac:dyDescent="0.2">
      <c r="A631" s="79" t="s">
        <v>934</v>
      </c>
      <c r="B631" s="79" t="s">
        <v>132</v>
      </c>
      <c r="C631" s="82">
        <v>-25058009.940000001</v>
      </c>
      <c r="D631" s="82">
        <v>-23014194.359999999</v>
      </c>
      <c r="E631" s="82">
        <v>-2043815.58</v>
      </c>
      <c r="F631" s="79" t="s">
        <v>949</v>
      </c>
    </row>
    <row r="632" spans="1:6" x14ac:dyDescent="0.2">
      <c r="A632" s="79" t="s">
        <v>932</v>
      </c>
      <c r="B632" s="79" t="s">
        <v>950</v>
      </c>
      <c r="C632" s="82">
        <v>-25058009.940000001</v>
      </c>
      <c r="D632" s="82">
        <v>-23014194.359999999</v>
      </c>
      <c r="E632" s="82">
        <v>-2043815.58</v>
      </c>
      <c r="F632" s="79" t="s">
        <v>949</v>
      </c>
    </row>
    <row r="633" spans="1:6" x14ac:dyDescent="0.2">
      <c r="A633" s="79" t="s">
        <v>932</v>
      </c>
      <c r="B633" s="83" t="s">
        <v>810</v>
      </c>
      <c r="C633" s="82">
        <v>0</v>
      </c>
      <c r="D633" s="82">
        <v>0</v>
      </c>
      <c r="E633" s="82">
        <v>0</v>
      </c>
      <c r="F633" s="79" t="s">
        <v>132</v>
      </c>
    </row>
    <row r="634" spans="1:6" x14ac:dyDescent="0.2">
      <c r="A634" s="79" t="s">
        <v>951</v>
      </c>
      <c r="B634" s="79" t="s">
        <v>952</v>
      </c>
      <c r="C634" s="82">
        <v>0</v>
      </c>
      <c r="D634" s="82">
        <v>0</v>
      </c>
      <c r="E634" s="82">
        <v>0</v>
      </c>
      <c r="F634" s="79" t="s">
        <v>132</v>
      </c>
    </row>
    <row r="635" spans="1:6" x14ac:dyDescent="0.2">
      <c r="A635" s="79" t="s">
        <v>951</v>
      </c>
      <c r="B635" s="83" t="s">
        <v>153</v>
      </c>
      <c r="C635" s="82">
        <v>0</v>
      </c>
      <c r="D635" s="82">
        <v>0</v>
      </c>
      <c r="E635" s="82">
        <v>0</v>
      </c>
      <c r="F635" s="79" t="s">
        <v>132</v>
      </c>
    </row>
    <row r="636" spans="1:6" x14ac:dyDescent="0.2">
      <c r="A636" s="79" t="s">
        <v>951</v>
      </c>
      <c r="B636" s="79" t="s">
        <v>953</v>
      </c>
      <c r="C636" s="82">
        <v>11.81</v>
      </c>
      <c r="D636" s="82">
        <v>1.17</v>
      </c>
      <c r="E636" s="82">
        <v>10.64</v>
      </c>
      <c r="F636" s="79" t="s">
        <v>954</v>
      </c>
    </row>
    <row r="637" spans="1:6" x14ac:dyDescent="0.2">
      <c r="A637" s="79" t="s">
        <v>951</v>
      </c>
      <c r="B637" s="79" t="s">
        <v>132</v>
      </c>
      <c r="C637" s="82">
        <v>11.81</v>
      </c>
      <c r="D637" s="82">
        <v>1.17</v>
      </c>
      <c r="E637" s="82">
        <v>10.64</v>
      </c>
      <c r="F637" s="79" t="s">
        <v>954</v>
      </c>
    </row>
    <row r="638" spans="1:6" x14ac:dyDescent="0.2">
      <c r="A638" s="79" t="s">
        <v>766</v>
      </c>
      <c r="B638" s="79" t="s">
        <v>955</v>
      </c>
      <c r="C638" s="82">
        <v>-467228468.67000002</v>
      </c>
      <c r="D638" s="82">
        <v>-442990961.51999998</v>
      </c>
      <c r="E638" s="82">
        <v>-24237507.149999999</v>
      </c>
      <c r="F638" s="79" t="s">
        <v>171</v>
      </c>
    </row>
    <row r="639" spans="1:6" x14ac:dyDescent="0.2">
      <c r="A639" s="79" t="s">
        <v>766</v>
      </c>
      <c r="B639" s="83" t="s">
        <v>253</v>
      </c>
      <c r="C639" s="82">
        <v>0</v>
      </c>
      <c r="D639" s="82">
        <v>0</v>
      </c>
      <c r="E639" s="82">
        <v>0</v>
      </c>
      <c r="F639" s="79" t="s">
        <v>132</v>
      </c>
    </row>
    <row r="640" spans="1:6" x14ac:dyDescent="0.2">
      <c r="A640" s="79" t="s">
        <v>956</v>
      </c>
      <c r="B640" s="79" t="s">
        <v>957</v>
      </c>
      <c r="C640" s="82">
        <v>0</v>
      </c>
      <c r="D640" s="82">
        <v>0</v>
      </c>
      <c r="E640" s="82">
        <v>0</v>
      </c>
      <c r="F640" s="79" t="s">
        <v>132</v>
      </c>
    </row>
    <row r="641" spans="1:6" x14ac:dyDescent="0.2">
      <c r="A641" s="79" t="s">
        <v>956</v>
      </c>
      <c r="B641" s="83" t="s">
        <v>504</v>
      </c>
      <c r="C641" s="82">
        <v>0</v>
      </c>
      <c r="D641" s="82">
        <v>0</v>
      </c>
      <c r="E641" s="82">
        <v>0</v>
      </c>
      <c r="F641" s="79" t="s">
        <v>132</v>
      </c>
    </row>
    <row r="642" spans="1:6" x14ac:dyDescent="0.2">
      <c r="A642" s="79" t="s">
        <v>956</v>
      </c>
      <c r="B642" s="79" t="s">
        <v>958</v>
      </c>
      <c r="C642" s="82">
        <v>-3219669.6</v>
      </c>
      <c r="D642" s="82">
        <v>-2047153.4</v>
      </c>
      <c r="E642" s="82">
        <v>-1172516.2</v>
      </c>
      <c r="F642" s="79" t="s">
        <v>959</v>
      </c>
    </row>
    <row r="643" spans="1:6" x14ac:dyDescent="0.2">
      <c r="A643" s="79" t="s">
        <v>956</v>
      </c>
      <c r="B643" s="79" t="s">
        <v>960</v>
      </c>
      <c r="C643" s="82">
        <v>-3219669.6</v>
      </c>
      <c r="D643" s="82">
        <v>-2047153.4</v>
      </c>
      <c r="E643" s="82">
        <v>-1172516.2</v>
      </c>
      <c r="F643" s="79" t="s">
        <v>959</v>
      </c>
    </row>
    <row r="644" spans="1:6" x14ac:dyDescent="0.2">
      <c r="A644" s="79" t="s">
        <v>956</v>
      </c>
      <c r="B644" s="83" t="s">
        <v>159</v>
      </c>
      <c r="C644" s="82">
        <v>0</v>
      </c>
      <c r="D644" s="82">
        <v>0</v>
      </c>
      <c r="E644" s="82">
        <v>0</v>
      </c>
      <c r="F644" s="79" t="s">
        <v>132</v>
      </c>
    </row>
    <row r="645" spans="1:6" x14ac:dyDescent="0.2">
      <c r="A645" s="79" t="s">
        <v>961</v>
      </c>
      <c r="B645" s="79" t="s">
        <v>57</v>
      </c>
      <c r="C645" s="82">
        <v>0</v>
      </c>
      <c r="D645" s="82">
        <v>0</v>
      </c>
      <c r="E645" s="82">
        <v>0</v>
      </c>
      <c r="F645" s="79" t="s">
        <v>132</v>
      </c>
    </row>
    <row r="646" spans="1:6" x14ac:dyDescent="0.2">
      <c r="A646" s="79" t="s">
        <v>961</v>
      </c>
      <c r="B646" s="83" t="s">
        <v>220</v>
      </c>
      <c r="C646" s="82">
        <v>0</v>
      </c>
      <c r="D646" s="82">
        <v>0</v>
      </c>
      <c r="E646" s="82">
        <v>0</v>
      </c>
      <c r="F646" s="79" t="s">
        <v>132</v>
      </c>
    </row>
    <row r="647" spans="1:6" x14ac:dyDescent="0.2">
      <c r="A647" s="79" t="s">
        <v>962</v>
      </c>
      <c r="B647" s="79" t="s">
        <v>963</v>
      </c>
      <c r="C647" s="82">
        <v>0</v>
      </c>
      <c r="D647" s="82">
        <v>0</v>
      </c>
      <c r="E647" s="82">
        <v>0</v>
      </c>
      <c r="F647" s="79" t="s">
        <v>132</v>
      </c>
    </row>
    <row r="648" spans="1:6" x14ac:dyDescent="0.2">
      <c r="A648" s="79" t="s">
        <v>962</v>
      </c>
      <c r="B648" s="79" t="s">
        <v>964</v>
      </c>
      <c r="C648" s="82">
        <v>0</v>
      </c>
      <c r="D648" s="82">
        <v>0</v>
      </c>
      <c r="E648" s="82">
        <v>0</v>
      </c>
      <c r="F648" s="79" t="s">
        <v>132</v>
      </c>
    </row>
    <row r="649" spans="1:6" x14ac:dyDescent="0.2">
      <c r="A649" s="79" t="s">
        <v>962</v>
      </c>
      <c r="B649" s="83" t="s">
        <v>965</v>
      </c>
      <c r="C649" s="82">
        <v>0</v>
      </c>
      <c r="D649" s="82">
        <v>0</v>
      </c>
      <c r="E649" s="82">
        <v>0</v>
      </c>
      <c r="F649" s="79" t="s">
        <v>132</v>
      </c>
    </row>
    <row r="650" spans="1:6" x14ac:dyDescent="0.2">
      <c r="A650" s="79" t="s">
        <v>962</v>
      </c>
      <c r="B650" s="79" t="s">
        <v>966</v>
      </c>
      <c r="C650" s="82">
        <v>-950000</v>
      </c>
      <c r="D650" s="82">
        <v>-950000</v>
      </c>
      <c r="E650" s="82">
        <v>0</v>
      </c>
      <c r="F650" s="79" t="s">
        <v>179</v>
      </c>
    </row>
    <row r="651" spans="1:6" x14ac:dyDescent="0.2">
      <c r="A651" s="79" t="s">
        <v>962</v>
      </c>
      <c r="B651" s="79" t="s">
        <v>967</v>
      </c>
      <c r="C651" s="82">
        <v>-2235492.48</v>
      </c>
      <c r="D651" s="82">
        <v>-2195662.0099999998</v>
      </c>
      <c r="E651" s="82">
        <v>-39830.47</v>
      </c>
      <c r="F651" s="79" t="s">
        <v>968</v>
      </c>
    </row>
    <row r="652" spans="1:6" x14ac:dyDescent="0.2">
      <c r="A652" s="79" t="s">
        <v>962</v>
      </c>
      <c r="B652" s="79" t="s">
        <v>969</v>
      </c>
      <c r="C652" s="82">
        <v>-50090.879999999997</v>
      </c>
      <c r="D652" s="82">
        <v>-50090.879999999997</v>
      </c>
      <c r="E652" s="82">
        <v>0</v>
      </c>
      <c r="F652" s="79" t="s">
        <v>179</v>
      </c>
    </row>
    <row r="653" spans="1:6" x14ac:dyDescent="0.2">
      <c r="A653" s="79" t="s">
        <v>962</v>
      </c>
      <c r="B653" s="79" t="s">
        <v>970</v>
      </c>
      <c r="C653" s="82">
        <v>-1125076.8</v>
      </c>
      <c r="D653" s="82">
        <v>-1125076.8</v>
      </c>
      <c r="E653" s="82">
        <v>0</v>
      </c>
      <c r="F653" s="79" t="s">
        <v>179</v>
      </c>
    </row>
    <row r="654" spans="1:6" x14ac:dyDescent="0.2">
      <c r="A654" s="79" t="s">
        <v>962</v>
      </c>
      <c r="B654" s="79" t="s">
        <v>971</v>
      </c>
      <c r="C654" s="82">
        <v>-214941</v>
      </c>
      <c r="D654" s="82">
        <v>-214941</v>
      </c>
      <c r="E654" s="82">
        <v>0</v>
      </c>
      <c r="F654" s="79" t="s">
        <v>179</v>
      </c>
    </row>
    <row r="655" spans="1:6" x14ac:dyDescent="0.2">
      <c r="A655" s="79" t="s">
        <v>962</v>
      </c>
      <c r="B655" s="79" t="s">
        <v>132</v>
      </c>
      <c r="C655" s="82">
        <v>-4575601.16</v>
      </c>
      <c r="D655" s="82">
        <v>-4535770.6900000004</v>
      </c>
      <c r="E655" s="82">
        <v>-39830.47</v>
      </c>
      <c r="F655" s="79" t="s">
        <v>972</v>
      </c>
    </row>
    <row r="656" spans="1:6" x14ac:dyDescent="0.2">
      <c r="A656" s="79" t="s">
        <v>973</v>
      </c>
      <c r="B656" s="79" t="s">
        <v>974</v>
      </c>
      <c r="C656" s="82">
        <v>0</v>
      </c>
      <c r="D656" s="82">
        <v>0</v>
      </c>
      <c r="E656" s="82">
        <v>0</v>
      </c>
      <c r="F656" s="79" t="s">
        <v>132</v>
      </c>
    </row>
    <row r="657" spans="1:6" x14ac:dyDescent="0.2">
      <c r="A657" s="79" t="s">
        <v>973</v>
      </c>
      <c r="B657" s="83" t="s">
        <v>167</v>
      </c>
      <c r="C657" s="82">
        <v>0</v>
      </c>
      <c r="D657" s="82">
        <v>0</v>
      </c>
      <c r="E657" s="82">
        <v>0</v>
      </c>
      <c r="F657" s="79" t="s">
        <v>132</v>
      </c>
    </row>
    <row r="658" spans="1:6" x14ac:dyDescent="0.2">
      <c r="A658" s="79" t="s">
        <v>975</v>
      </c>
      <c r="B658" s="79" t="s">
        <v>976</v>
      </c>
      <c r="C658" s="82">
        <v>0</v>
      </c>
      <c r="D658" s="82">
        <v>-52.98</v>
      </c>
      <c r="E658" s="82">
        <v>52.98</v>
      </c>
      <c r="F658" s="79" t="s">
        <v>401</v>
      </c>
    </row>
    <row r="659" spans="1:6" x14ac:dyDescent="0.2">
      <c r="A659" s="79" t="s">
        <v>975</v>
      </c>
      <c r="B659" s="79" t="s">
        <v>977</v>
      </c>
      <c r="C659" s="82">
        <v>-359140.13</v>
      </c>
      <c r="D659" s="82">
        <v>-126749.07</v>
      </c>
      <c r="E659" s="82">
        <v>-232391.06</v>
      </c>
      <c r="F659" s="79" t="s">
        <v>978</v>
      </c>
    </row>
    <row r="660" spans="1:6" x14ac:dyDescent="0.2">
      <c r="A660" s="79" t="s">
        <v>975</v>
      </c>
      <c r="B660" s="79" t="s">
        <v>132</v>
      </c>
      <c r="C660" s="82">
        <v>-359140.13</v>
      </c>
      <c r="D660" s="82">
        <v>-126802.05</v>
      </c>
      <c r="E660" s="82">
        <v>-232338.08</v>
      </c>
      <c r="F660" s="79" t="s">
        <v>979</v>
      </c>
    </row>
    <row r="661" spans="1:6" x14ac:dyDescent="0.2">
      <c r="A661" s="79" t="s">
        <v>980</v>
      </c>
      <c r="B661" s="79" t="s">
        <v>981</v>
      </c>
      <c r="C661" s="82">
        <v>-1326511.3</v>
      </c>
      <c r="D661" s="82">
        <v>-1073394.04</v>
      </c>
      <c r="E661" s="82">
        <v>-253117.26</v>
      </c>
      <c r="F661" s="79" t="s">
        <v>982</v>
      </c>
    </row>
    <row r="662" spans="1:6" x14ac:dyDescent="0.2">
      <c r="A662" s="79" t="s">
        <v>980</v>
      </c>
      <c r="B662" s="79" t="s">
        <v>983</v>
      </c>
      <c r="C662" s="82">
        <v>-192903.74</v>
      </c>
      <c r="D662" s="82">
        <v>-452848.71</v>
      </c>
      <c r="E662" s="82">
        <v>259944.97</v>
      </c>
      <c r="F662" s="79" t="s">
        <v>984</v>
      </c>
    </row>
    <row r="663" spans="1:6" x14ac:dyDescent="0.2">
      <c r="A663" s="79" t="s">
        <v>980</v>
      </c>
      <c r="B663" s="79" t="s">
        <v>985</v>
      </c>
      <c r="C663" s="82">
        <v>0</v>
      </c>
      <c r="D663" s="82">
        <v>-40005.300000000003</v>
      </c>
      <c r="E663" s="82">
        <v>40005.300000000003</v>
      </c>
      <c r="F663" s="79" t="s">
        <v>401</v>
      </c>
    </row>
    <row r="664" spans="1:6" x14ac:dyDescent="0.2">
      <c r="A664" s="79" t="s">
        <v>980</v>
      </c>
      <c r="B664" s="79" t="s">
        <v>986</v>
      </c>
      <c r="C664" s="82">
        <v>-11</v>
      </c>
      <c r="D664" s="82">
        <v>-26</v>
      </c>
      <c r="E664" s="82">
        <v>15</v>
      </c>
      <c r="F664" s="79" t="s">
        <v>987</v>
      </c>
    </row>
    <row r="665" spans="1:6" x14ac:dyDescent="0.2">
      <c r="A665" s="79" t="s">
        <v>980</v>
      </c>
      <c r="B665" s="79" t="s">
        <v>988</v>
      </c>
      <c r="C665" s="82">
        <v>-619.85</v>
      </c>
      <c r="D665" s="82">
        <v>-1095.54</v>
      </c>
      <c r="E665" s="82">
        <v>475.69</v>
      </c>
      <c r="F665" s="79" t="s">
        <v>989</v>
      </c>
    </row>
    <row r="666" spans="1:6" x14ac:dyDescent="0.2">
      <c r="A666" s="79" t="s">
        <v>980</v>
      </c>
      <c r="B666" s="79" t="s">
        <v>990</v>
      </c>
      <c r="C666" s="82">
        <v>-120810.23</v>
      </c>
      <c r="D666" s="82">
        <v>-174175</v>
      </c>
      <c r="E666" s="82">
        <v>53364.77</v>
      </c>
      <c r="F666" s="79" t="s">
        <v>991</v>
      </c>
    </row>
    <row r="667" spans="1:6" x14ac:dyDescent="0.2">
      <c r="A667" s="79" t="s">
        <v>980</v>
      </c>
      <c r="B667" s="79" t="s">
        <v>992</v>
      </c>
      <c r="C667" s="82">
        <v>-74342.61</v>
      </c>
      <c r="D667" s="82">
        <v>-256683.66</v>
      </c>
      <c r="E667" s="82">
        <v>182341.05</v>
      </c>
      <c r="F667" s="79" t="s">
        <v>993</v>
      </c>
    </row>
    <row r="668" spans="1:6" x14ac:dyDescent="0.2">
      <c r="A668" s="79" t="s">
        <v>980</v>
      </c>
      <c r="B668" s="79" t="s">
        <v>994</v>
      </c>
      <c r="C668" s="82">
        <v>-1332172.24</v>
      </c>
      <c r="D668" s="82">
        <v>-2004379.16</v>
      </c>
      <c r="E668" s="82">
        <v>672206.92</v>
      </c>
      <c r="F668" s="79" t="s">
        <v>995</v>
      </c>
    </row>
    <row r="669" spans="1:6" x14ac:dyDescent="0.2">
      <c r="A669" s="79" t="s">
        <v>980</v>
      </c>
      <c r="B669" s="79" t="s">
        <v>996</v>
      </c>
      <c r="C669" s="82">
        <v>-553400.97</v>
      </c>
      <c r="D669" s="82">
        <v>-17483.97</v>
      </c>
      <c r="E669" s="82">
        <v>-535917</v>
      </c>
      <c r="F669" s="79" t="s">
        <v>997</v>
      </c>
    </row>
    <row r="670" spans="1:6" x14ac:dyDescent="0.2">
      <c r="A670" s="79" t="s">
        <v>980</v>
      </c>
      <c r="B670" s="79" t="s">
        <v>998</v>
      </c>
      <c r="C670" s="82">
        <v>-6670.22</v>
      </c>
      <c r="D670" s="82">
        <v>-4477.7299999999996</v>
      </c>
      <c r="E670" s="82">
        <v>-2192.4899999999998</v>
      </c>
      <c r="F670" s="79" t="s">
        <v>536</v>
      </c>
    </row>
    <row r="671" spans="1:6" x14ac:dyDescent="0.2">
      <c r="A671" s="79" t="s">
        <v>980</v>
      </c>
      <c r="B671" s="79" t="s">
        <v>999</v>
      </c>
      <c r="C671" s="82">
        <v>-50788.78</v>
      </c>
      <c r="D671" s="82">
        <v>-64764.81</v>
      </c>
      <c r="E671" s="82">
        <v>13976.03</v>
      </c>
      <c r="F671" s="79" t="s">
        <v>1000</v>
      </c>
    </row>
    <row r="672" spans="1:6" x14ac:dyDescent="0.2">
      <c r="A672" s="79" t="s">
        <v>980</v>
      </c>
      <c r="B672" s="79" t="s">
        <v>1001</v>
      </c>
      <c r="C672" s="82">
        <v>-1773050.84</v>
      </c>
      <c r="D672" s="82">
        <v>-1576730</v>
      </c>
      <c r="E672" s="82">
        <v>-196320.84</v>
      </c>
      <c r="F672" s="79" t="s">
        <v>831</v>
      </c>
    </row>
    <row r="673" spans="1:6" x14ac:dyDescent="0.2">
      <c r="A673" s="79" t="s">
        <v>980</v>
      </c>
      <c r="B673" s="79" t="s">
        <v>1002</v>
      </c>
      <c r="C673" s="82">
        <v>1773050.84</v>
      </c>
      <c r="D673" s="82">
        <v>1576730</v>
      </c>
      <c r="E673" s="82">
        <v>196320.84</v>
      </c>
      <c r="F673" s="79" t="s">
        <v>586</v>
      </c>
    </row>
    <row r="674" spans="1:6" x14ac:dyDescent="0.2">
      <c r="A674" s="79" t="s">
        <v>980</v>
      </c>
      <c r="B674" s="79" t="s">
        <v>1003</v>
      </c>
      <c r="C674" s="82">
        <v>-490744.27</v>
      </c>
      <c r="D674" s="82">
        <v>-461655.4</v>
      </c>
      <c r="E674" s="82">
        <v>-29088.87</v>
      </c>
      <c r="F674" s="79" t="s">
        <v>780</v>
      </c>
    </row>
    <row r="675" spans="1:6" x14ac:dyDescent="0.2">
      <c r="A675" s="79" t="s">
        <v>980</v>
      </c>
      <c r="B675" s="79" t="s">
        <v>1004</v>
      </c>
      <c r="C675" s="82">
        <v>-259209.9</v>
      </c>
      <c r="D675" s="82">
        <v>-53873.87</v>
      </c>
      <c r="E675" s="82">
        <v>-205336.03</v>
      </c>
      <c r="F675" s="79" t="s">
        <v>1005</v>
      </c>
    </row>
    <row r="676" spans="1:6" x14ac:dyDescent="0.2">
      <c r="A676" s="79" t="s">
        <v>980</v>
      </c>
      <c r="B676" s="79" t="s">
        <v>1006</v>
      </c>
      <c r="C676" s="82">
        <v>-1700611.56</v>
      </c>
      <c r="D676" s="82">
        <v>-727766.09</v>
      </c>
      <c r="E676" s="82">
        <v>-972845.47</v>
      </c>
      <c r="F676" s="79" t="s">
        <v>1007</v>
      </c>
    </row>
    <row r="677" spans="1:6" x14ac:dyDescent="0.2">
      <c r="A677" s="79" t="s">
        <v>980</v>
      </c>
      <c r="B677" s="79" t="s">
        <v>132</v>
      </c>
      <c r="C677" s="82">
        <v>-6108796.6699999999</v>
      </c>
      <c r="D677" s="82">
        <v>-5332629.28</v>
      </c>
      <c r="E677" s="82">
        <v>-776167.39</v>
      </c>
      <c r="F677" s="79" t="s">
        <v>1008</v>
      </c>
    </row>
    <row r="678" spans="1:6" x14ac:dyDescent="0.2">
      <c r="A678" s="79" t="s">
        <v>973</v>
      </c>
      <c r="B678" s="79" t="s">
        <v>132</v>
      </c>
      <c r="C678" s="82">
        <v>-6467936.7999999998</v>
      </c>
      <c r="D678" s="82">
        <v>-5459431.3300000001</v>
      </c>
      <c r="E678" s="82">
        <v>-1008505.47</v>
      </c>
      <c r="F678" s="79" t="s">
        <v>1009</v>
      </c>
    </row>
    <row r="679" spans="1:6" x14ac:dyDescent="0.2">
      <c r="A679" s="79" t="s">
        <v>961</v>
      </c>
      <c r="B679" s="79" t="s">
        <v>1010</v>
      </c>
      <c r="C679" s="82">
        <v>-11043537.960000001</v>
      </c>
      <c r="D679" s="82">
        <v>-9995202.0199999996</v>
      </c>
      <c r="E679" s="82">
        <v>-1048335.94</v>
      </c>
      <c r="F679" s="79" t="s">
        <v>1011</v>
      </c>
    </row>
    <row r="680" spans="1:6" x14ac:dyDescent="0.2">
      <c r="A680" s="79" t="s">
        <v>961</v>
      </c>
      <c r="B680" s="83" t="s">
        <v>309</v>
      </c>
      <c r="C680" s="82">
        <v>0</v>
      </c>
      <c r="D680" s="82">
        <v>0</v>
      </c>
      <c r="E680" s="82">
        <v>0</v>
      </c>
      <c r="F680" s="79" t="s">
        <v>132</v>
      </c>
    </row>
    <row r="681" spans="1:6" x14ac:dyDescent="0.2">
      <c r="A681" s="79" t="s">
        <v>1012</v>
      </c>
      <c r="B681" s="79" t="s">
        <v>59</v>
      </c>
      <c r="C681" s="82">
        <v>0</v>
      </c>
      <c r="D681" s="82">
        <v>0</v>
      </c>
      <c r="E681" s="82">
        <v>0</v>
      </c>
      <c r="F681" s="79" t="s">
        <v>132</v>
      </c>
    </row>
    <row r="682" spans="1:6" x14ac:dyDescent="0.2">
      <c r="A682" s="79" t="s">
        <v>1012</v>
      </c>
      <c r="B682" s="83" t="s">
        <v>303</v>
      </c>
      <c r="C682" s="82">
        <v>0</v>
      </c>
      <c r="D682" s="82">
        <v>0</v>
      </c>
      <c r="E682" s="82">
        <v>0</v>
      </c>
      <c r="F682" s="79" t="s">
        <v>132</v>
      </c>
    </row>
    <row r="683" spans="1:6" x14ac:dyDescent="0.2">
      <c r="A683" s="79" t="s">
        <v>1013</v>
      </c>
      <c r="B683" s="79" t="s">
        <v>1014</v>
      </c>
      <c r="C683" s="82">
        <v>0</v>
      </c>
      <c r="D683" s="82">
        <v>0</v>
      </c>
      <c r="E683" s="82">
        <v>0</v>
      </c>
      <c r="F683" s="79" t="s">
        <v>132</v>
      </c>
    </row>
    <row r="684" spans="1:6" x14ac:dyDescent="0.2">
      <c r="A684" s="79" t="s">
        <v>1013</v>
      </c>
      <c r="B684" s="79" t="s">
        <v>1015</v>
      </c>
      <c r="C684" s="82">
        <v>0</v>
      </c>
      <c r="D684" s="82">
        <v>0</v>
      </c>
      <c r="E684" s="82">
        <v>0</v>
      </c>
      <c r="F684" s="79" t="s">
        <v>132</v>
      </c>
    </row>
    <row r="685" spans="1:6" x14ac:dyDescent="0.2">
      <c r="A685" s="79" t="s">
        <v>1013</v>
      </c>
      <c r="B685" s="83" t="s">
        <v>312</v>
      </c>
      <c r="C685" s="82">
        <v>0</v>
      </c>
      <c r="D685" s="82">
        <v>0</v>
      </c>
      <c r="E685" s="82">
        <v>0</v>
      </c>
      <c r="F685" s="79" t="s">
        <v>132</v>
      </c>
    </row>
    <row r="686" spans="1:6" x14ac:dyDescent="0.2">
      <c r="A686" s="79" t="s">
        <v>1016</v>
      </c>
      <c r="B686" s="79" t="s">
        <v>1017</v>
      </c>
      <c r="C686" s="82">
        <v>3016.28</v>
      </c>
      <c r="D686" s="82">
        <v>3137.92</v>
      </c>
      <c r="E686" s="82">
        <v>-121.64</v>
      </c>
      <c r="F686" s="79" t="s">
        <v>1018</v>
      </c>
    </row>
    <row r="687" spans="1:6" x14ac:dyDescent="0.2">
      <c r="A687" s="79" t="s">
        <v>1016</v>
      </c>
      <c r="B687" s="79" t="s">
        <v>1019</v>
      </c>
      <c r="C687" s="82">
        <v>450.81</v>
      </c>
      <c r="D687" s="82">
        <v>54859.69</v>
      </c>
      <c r="E687" s="82">
        <v>-54408.88</v>
      </c>
      <c r="F687" s="79" t="s">
        <v>1020</v>
      </c>
    </row>
    <row r="688" spans="1:6" x14ac:dyDescent="0.2">
      <c r="A688" s="79" t="s">
        <v>1016</v>
      </c>
      <c r="B688" s="79" t="s">
        <v>1021</v>
      </c>
      <c r="C688" s="82">
        <v>56121.02</v>
      </c>
      <c r="D688" s="82">
        <v>256665.62</v>
      </c>
      <c r="E688" s="82">
        <v>-200544.6</v>
      </c>
      <c r="F688" s="79" t="s">
        <v>1022</v>
      </c>
    </row>
    <row r="689" spans="1:6" x14ac:dyDescent="0.2">
      <c r="A689" s="79" t="s">
        <v>1016</v>
      </c>
      <c r="B689" s="79" t="s">
        <v>1023</v>
      </c>
      <c r="C689" s="82">
        <v>5977.51</v>
      </c>
      <c r="D689" s="82">
        <v>734.31</v>
      </c>
      <c r="E689" s="82">
        <v>5243.2</v>
      </c>
      <c r="F689" s="79" t="s">
        <v>1024</v>
      </c>
    </row>
    <row r="690" spans="1:6" x14ac:dyDescent="0.2">
      <c r="A690" s="79" t="s">
        <v>1016</v>
      </c>
      <c r="B690" s="79" t="s">
        <v>1025</v>
      </c>
      <c r="C690" s="82">
        <v>-2431.35</v>
      </c>
      <c r="D690" s="82">
        <v>-2114.34</v>
      </c>
      <c r="E690" s="82">
        <v>-317.01</v>
      </c>
      <c r="F690" s="79" t="s">
        <v>1026</v>
      </c>
    </row>
    <row r="691" spans="1:6" x14ac:dyDescent="0.2">
      <c r="A691" s="79" t="s">
        <v>1016</v>
      </c>
      <c r="B691" s="79" t="s">
        <v>1027</v>
      </c>
      <c r="C691" s="82">
        <v>-772.38</v>
      </c>
      <c r="D691" s="82">
        <v>-31088.87</v>
      </c>
      <c r="E691" s="82">
        <v>30316.49</v>
      </c>
      <c r="F691" s="79" t="s">
        <v>1028</v>
      </c>
    </row>
    <row r="692" spans="1:6" x14ac:dyDescent="0.2">
      <c r="A692" s="79" t="s">
        <v>1016</v>
      </c>
      <c r="B692" s="79" t="s">
        <v>1029</v>
      </c>
      <c r="C692" s="82">
        <v>-45228.160000000003</v>
      </c>
      <c r="D692" s="82">
        <v>-254863.08</v>
      </c>
      <c r="E692" s="82">
        <v>209634.92</v>
      </c>
      <c r="F692" s="79" t="s">
        <v>1030</v>
      </c>
    </row>
    <row r="693" spans="1:6" x14ac:dyDescent="0.2">
      <c r="A693" s="79" t="s">
        <v>1016</v>
      </c>
      <c r="B693" s="79" t="s">
        <v>1031</v>
      </c>
      <c r="C693" s="82">
        <v>139371.64000000001</v>
      </c>
      <c r="D693" s="82">
        <v>106291.33</v>
      </c>
      <c r="E693" s="82">
        <v>33080.31</v>
      </c>
      <c r="F693" s="79" t="s">
        <v>1032</v>
      </c>
    </row>
    <row r="694" spans="1:6" x14ac:dyDescent="0.2">
      <c r="A694" s="79" t="s">
        <v>1016</v>
      </c>
      <c r="B694" s="79" t="s">
        <v>1033</v>
      </c>
      <c r="C694" s="82">
        <v>548373.31000000006</v>
      </c>
      <c r="D694" s="82">
        <v>519174.64</v>
      </c>
      <c r="E694" s="82">
        <v>29198.67</v>
      </c>
      <c r="F694" s="79" t="s">
        <v>857</v>
      </c>
    </row>
    <row r="695" spans="1:6" x14ac:dyDescent="0.2">
      <c r="A695" s="79" t="s">
        <v>1016</v>
      </c>
      <c r="B695" s="79" t="s">
        <v>1034</v>
      </c>
      <c r="C695" s="82">
        <v>82329.19</v>
      </c>
      <c r="D695" s="82">
        <v>44613.19</v>
      </c>
      <c r="E695" s="82">
        <v>37716</v>
      </c>
      <c r="F695" s="79" t="s">
        <v>1035</v>
      </c>
    </row>
    <row r="696" spans="1:6" x14ac:dyDescent="0.2">
      <c r="A696" s="79" t="s">
        <v>1016</v>
      </c>
      <c r="B696" s="79" t="s">
        <v>1036</v>
      </c>
      <c r="C696" s="82">
        <v>26977.69</v>
      </c>
      <c r="D696" s="82">
        <v>26507.67</v>
      </c>
      <c r="E696" s="82">
        <v>470.02</v>
      </c>
      <c r="F696" s="79" t="s">
        <v>1037</v>
      </c>
    </row>
    <row r="697" spans="1:6" x14ac:dyDescent="0.2">
      <c r="A697" s="79" t="s">
        <v>1016</v>
      </c>
      <c r="B697" s="79" t="s">
        <v>1038</v>
      </c>
      <c r="C697" s="82">
        <v>19814.560000000001</v>
      </c>
      <c r="D697" s="82">
        <v>17867.8</v>
      </c>
      <c r="E697" s="82">
        <v>1946.76</v>
      </c>
      <c r="F697" s="79" t="s">
        <v>691</v>
      </c>
    </row>
    <row r="698" spans="1:6" x14ac:dyDescent="0.2">
      <c r="A698" s="79" t="s">
        <v>1016</v>
      </c>
      <c r="B698" s="79" t="s">
        <v>1039</v>
      </c>
      <c r="C698" s="82">
        <v>447023.97</v>
      </c>
      <c r="D698" s="82">
        <v>431674.73</v>
      </c>
      <c r="E698" s="82">
        <v>15349.24</v>
      </c>
      <c r="F698" s="79" t="s">
        <v>1040</v>
      </c>
    </row>
    <row r="699" spans="1:6" x14ac:dyDescent="0.2">
      <c r="A699" s="79" t="s">
        <v>1016</v>
      </c>
      <c r="B699" s="79" t="s">
        <v>1041</v>
      </c>
      <c r="C699" s="82">
        <v>94371.23</v>
      </c>
      <c r="D699" s="82">
        <v>9234</v>
      </c>
      <c r="E699" s="82">
        <v>85137.23</v>
      </c>
      <c r="F699" s="79" t="s">
        <v>1042</v>
      </c>
    </row>
    <row r="700" spans="1:6" x14ac:dyDescent="0.2">
      <c r="A700" s="79" t="s">
        <v>1016</v>
      </c>
      <c r="B700" s="79" t="s">
        <v>1043</v>
      </c>
      <c r="C700" s="82">
        <v>96669.06</v>
      </c>
      <c r="D700" s="82">
        <v>90670.67</v>
      </c>
      <c r="E700" s="82">
        <v>5998.39</v>
      </c>
      <c r="F700" s="79" t="s">
        <v>1044</v>
      </c>
    </row>
    <row r="701" spans="1:6" x14ac:dyDescent="0.2">
      <c r="A701" s="79" t="s">
        <v>1016</v>
      </c>
      <c r="B701" s="79" t="s">
        <v>1045</v>
      </c>
      <c r="C701" s="82">
        <v>420076.79999999999</v>
      </c>
      <c r="D701" s="82">
        <v>424037.32</v>
      </c>
      <c r="E701" s="82">
        <v>-3960.52</v>
      </c>
      <c r="F701" s="79" t="s">
        <v>972</v>
      </c>
    </row>
    <row r="702" spans="1:6" x14ac:dyDescent="0.2">
      <c r="A702" s="79" t="s">
        <v>1016</v>
      </c>
      <c r="B702" s="79" t="s">
        <v>1046</v>
      </c>
      <c r="C702" s="82">
        <v>3081.64</v>
      </c>
      <c r="D702" s="82">
        <v>3234.88</v>
      </c>
      <c r="E702" s="82">
        <v>-153.24</v>
      </c>
      <c r="F702" s="79" t="s">
        <v>285</v>
      </c>
    </row>
    <row r="703" spans="1:6" x14ac:dyDescent="0.2">
      <c r="A703" s="79" t="s">
        <v>1016</v>
      </c>
      <c r="B703" s="79" t="s">
        <v>1047</v>
      </c>
      <c r="C703" s="82">
        <v>885214.59</v>
      </c>
      <c r="D703" s="82">
        <v>804918.3</v>
      </c>
      <c r="E703" s="82">
        <v>80296.289999999994</v>
      </c>
      <c r="F703" s="79" t="s">
        <v>1048</v>
      </c>
    </row>
    <row r="704" spans="1:6" x14ac:dyDescent="0.2">
      <c r="A704" s="79" t="s">
        <v>1016</v>
      </c>
      <c r="B704" s="79" t="s">
        <v>1049</v>
      </c>
      <c r="C704" s="82">
        <v>79139.28</v>
      </c>
      <c r="D704" s="82">
        <v>75054.880000000005</v>
      </c>
      <c r="E704" s="82">
        <v>4084.4</v>
      </c>
      <c r="F704" s="79" t="s">
        <v>1050</v>
      </c>
    </row>
    <row r="705" spans="1:6" x14ac:dyDescent="0.2">
      <c r="A705" s="79" t="s">
        <v>1016</v>
      </c>
      <c r="B705" s="79" t="s">
        <v>1051</v>
      </c>
      <c r="C705" s="82">
        <v>4101.67</v>
      </c>
      <c r="D705" s="82">
        <v>5092.33</v>
      </c>
      <c r="E705" s="82">
        <v>-990.66</v>
      </c>
      <c r="F705" s="79" t="s">
        <v>1052</v>
      </c>
    </row>
    <row r="706" spans="1:6" x14ac:dyDescent="0.2">
      <c r="A706" s="79" t="s">
        <v>1016</v>
      </c>
      <c r="B706" s="79" t="s">
        <v>1053</v>
      </c>
      <c r="C706" s="82">
        <v>23836.44</v>
      </c>
      <c r="D706" s="82">
        <v>24500.53</v>
      </c>
      <c r="E706" s="82">
        <v>-664.09</v>
      </c>
      <c r="F706" s="79" t="s">
        <v>283</v>
      </c>
    </row>
    <row r="707" spans="1:6" x14ac:dyDescent="0.2">
      <c r="A707" s="79" t="s">
        <v>1016</v>
      </c>
      <c r="B707" s="79" t="s">
        <v>1054</v>
      </c>
      <c r="C707" s="82">
        <v>329928.21000000002</v>
      </c>
      <c r="D707" s="82">
        <v>377850.66</v>
      </c>
      <c r="E707" s="82">
        <v>-47922.45</v>
      </c>
      <c r="F707" s="79" t="s">
        <v>595</v>
      </c>
    </row>
    <row r="708" spans="1:6" x14ac:dyDescent="0.2">
      <c r="A708" s="79" t="s">
        <v>1016</v>
      </c>
      <c r="B708" s="79" t="s">
        <v>1055</v>
      </c>
      <c r="C708" s="82">
        <v>8078.79</v>
      </c>
      <c r="D708" s="82">
        <v>7089.3</v>
      </c>
      <c r="E708" s="82">
        <v>989.49</v>
      </c>
      <c r="F708" s="79" t="s">
        <v>1056</v>
      </c>
    </row>
    <row r="709" spans="1:6" x14ac:dyDescent="0.2">
      <c r="A709" s="79" t="s">
        <v>1016</v>
      </c>
      <c r="B709" s="79" t="s">
        <v>1057</v>
      </c>
      <c r="C709" s="82">
        <v>115273.47</v>
      </c>
      <c r="D709" s="82">
        <v>114673.33</v>
      </c>
      <c r="E709" s="82">
        <v>600.14</v>
      </c>
      <c r="F709" s="79" t="s">
        <v>1058</v>
      </c>
    </row>
    <row r="710" spans="1:6" x14ac:dyDescent="0.2">
      <c r="A710" s="79" t="s">
        <v>1016</v>
      </c>
      <c r="B710" s="79" t="s">
        <v>1059</v>
      </c>
      <c r="C710" s="82">
        <v>617424.03</v>
      </c>
      <c r="D710" s="82">
        <v>784411.71</v>
      </c>
      <c r="E710" s="82">
        <v>-166987.68</v>
      </c>
      <c r="F710" s="79" t="s">
        <v>1060</v>
      </c>
    </row>
    <row r="711" spans="1:6" x14ac:dyDescent="0.2">
      <c r="A711" s="79" t="s">
        <v>1016</v>
      </c>
      <c r="B711" s="79" t="s">
        <v>1061</v>
      </c>
      <c r="C711" s="82">
        <v>550393.53</v>
      </c>
      <c r="D711" s="82">
        <v>574711.59</v>
      </c>
      <c r="E711" s="82">
        <v>-24318.06</v>
      </c>
      <c r="F711" s="79" t="s">
        <v>854</v>
      </c>
    </row>
    <row r="712" spans="1:6" x14ac:dyDescent="0.2">
      <c r="A712" s="79" t="s">
        <v>1016</v>
      </c>
      <c r="B712" s="79" t="s">
        <v>1062</v>
      </c>
      <c r="C712" s="82">
        <v>981856.18</v>
      </c>
      <c r="D712" s="82">
        <v>1479644.23</v>
      </c>
      <c r="E712" s="82">
        <v>-497788.05</v>
      </c>
      <c r="F712" s="79" t="s">
        <v>1063</v>
      </c>
    </row>
    <row r="713" spans="1:6" x14ac:dyDescent="0.2">
      <c r="A713" s="79" t="s">
        <v>1016</v>
      </c>
      <c r="B713" s="79" t="s">
        <v>1064</v>
      </c>
      <c r="C713" s="82">
        <v>482980.03</v>
      </c>
      <c r="D713" s="82">
        <v>540780.32999999996</v>
      </c>
      <c r="E713" s="82">
        <v>-57800.3</v>
      </c>
      <c r="F713" s="79" t="s">
        <v>874</v>
      </c>
    </row>
    <row r="714" spans="1:6" x14ac:dyDescent="0.2">
      <c r="A714" s="79" t="s">
        <v>1016</v>
      </c>
      <c r="B714" s="79" t="s">
        <v>1065</v>
      </c>
      <c r="C714" s="82">
        <v>-92073</v>
      </c>
      <c r="D714" s="82">
        <v>0</v>
      </c>
      <c r="E714" s="82">
        <v>-92073</v>
      </c>
      <c r="F714" s="79" t="s">
        <v>132</v>
      </c>
    </row>
    <row r="715" spans="1:6" x14ac:dyDescent="0.2">
      <c r="A715" s="79" t="s">
        <v>1016</v>
      </c>
      <c r="B715" s="79" t="s">
        <v>132</v>
      </c>
      <c r="C715" s="82">
        <v>5881376.04</v>
      </c>
      <c r="D715" s="82">
        <v>6489364.6699999999</v>
      </c>
      <c r="E715" s="82">
        <v>-607988.63</v>
      </c>
      <c r="F715" s="79" t="s">
        <v>1066</v>
      </c>
    </row>
    <row r="716" spans="1:6" x14ac:dyDescent="0.2">
      <c r="A716" s="79" t="s">
        <v>1067</v>
      </c>
      <c r="B716" s="79" t="s">
        <v>1068</v>
      </c>
      <c r="C716" s="82">
        <v>185125.9</v>
      </c>
      <c r="D716" s="82">
        <v>98626.65</v>
      </c>
      <c r="E716" s="82">
        <v>86499.25</v>
      </c>
      <c r="F716" s="79" t="s">
        <v>1069</v>
      </c>
    </row>
    <row r="717" spans="1:6" x14ac:dyDescent="0.2">
      <c r="A717" s="79" t="s">
        <v>1067</v>
      </c>
      <c r="B717" s="79" t="s">
        <v>1070</v>
      </c>
      <c r="C717" s="82">
        <v>3762348.75</v>
      </c>
      <c r="D717" s="82">
        <v>3207131</v>
      </c>
      <c r="E717" s="82">
        <v>555217.75</v>
      </c>
      <c r="F717" s="79" t="s">
        <v>1071</v>
      </c>
    </row>
    <row r="718" spans="1:6" x14ac:dyDescent="0.2">
      <c r="A718" s="79" t="s">
        <v>1067</v>
      </c>
      <c r="B718" s="79" t="s">
        <v>1072</v>
      </c>
      <c r="C718" s="82">
        <v>6341210.5499999998</v>
      </c>
      <c r="D718" s="82">
        <v>3638813.79</v>
      </c>
      <c r="E718" s="82">
        <v>2702396.76</v>
      </c>
      <c r="F718" s="79" t="s">
        <v>1073</v>
      </c>
    </row>
    <row r="719" spans="1:6" x14ac:dyDescent="0.2">
      <c r="A719" s="79" t="s">
        <v>1067</v>
      </c>
      <c r="B719" s="79" t="s">
        <v>1074</v>
      </c>
      <c r="C719" s="82">
        <v>-4812.41</v>
      </c>
      <c r="D719" s="82">
        <v>0</v>
      </c>
      <c r="E719" s="82">
        <v>-4812.41</v>
      </c>
      <c r="F719" s="79" t="s">
        <v>132</v>
      </c>
    </row>
    <row r="720" spans="1:6" x14ac:dyDescent="0.2">
      <c r="A720" s="79" t="s">
        <v>1067</v>
      </c>
      <c r="B720" s="79" t="s">
        <v>1075</v>
      </c>
      <c r="C720" s="82">
        <v>3891615.58</v>
      </c>
      <c r="D720" s="82">
        <v>3714799.05</v>
      </c>
      <c r="E720" s="82">
        <v>176816.53</v>
      </c>
      <c r="F720" s="79" t="s">
        <v>1076</v>
      </c>
    </row>
    <row r="721" spans="1:6" x14ac:dyDescent="0.2">
      <c r="A721" s="79" t="s">
        <v>1067</v>
      </c>
      <c r="B721" s="79" t="s">
        <v>1077</v>
      </c>
      <c r="C721" s="82">
        <v>7571210.7599999998</v>
      </c>
      <c r="D721" s="82">
        <v>6629161.8399999999</v>
      </c>
      <c r="E721" s="82">
        <v>942048.92</v>
      </c>
      <c r="F721" s="79" t="s">
        <v>1078</v>
      </c>
    </row>
    <row r="722" spans="1:6" x14ac:dyDescent="0.2">
      <c r="A722" s="79" t="s">
        <v>1067</v>
      </c>
      <c r="B722" s="79" t="s">
        <v>1079</v>
      </c>
      <c r="C722" s="82">
        <v>2860803.47</v>
      </c>
      <c r="D722" s="82">
        <v>2754381.29</v>
      </c>
      <c r="E722" s="82">
        <v>106422.18</v>
      </c>
      <c r="F722" s="79" t="s">
        <v>618</v>
      </c>
    </row>
    <row r="723" spans="1:6" x14ac:dyDescent="0.2">
      <c r="A723" s="79" t="s">
        <v>1067</v>
      </c>
      <c r="B723" s="79" t="s">
        <v>1080</v>
      </c>
      <c r="C723" s="82">
        <v>4421981.1900000004</v>
      </c>
      <c r="D723" s="82">
        <v>5470323.3700000001</v>
      </c>
      <c r="E723" s="82">
        <v>-1048342.18</v>
      </c>
      <c r="F723" s="79" t="s">
        <v>1081</v>
      </c>
    </row>
    <row r="724" spans="1:6" x14ac:dyDescent="0.2">
      <c r="A724" s="79" t="s">
        <v>1067</v>
      </c>
      <c r="B724" s="79" t="s">
        <v>1082</v>
      </c>
      <c r="C724" s="82">
        <v>457234</v>
      </c>
      <c r="D724" s="82">
        <v>426455.45</v>
      </c>
      <c r="E724" s="82">
        <v>30778.55</v>
      </c>
      <c r="F724" s="79" t="s">
        <v>1083</v>
      </c>
    </row>
    <row r="725" spans="1:6" x14ac:dyDescent="0.2">
      <c r="A725" s="79" t="s">
        <v>1067</v>
      </c>
      <c r="B725" s="79" t="s">
        <v>132</v>
      </c>
      <c r="C725" s="82">
        <v>29486717.789999999</v>
      </c>
      <c r="D725" s="82">
        <v>25939692.440000001</v>
      </c>
      <c r="E725" s="82">
        <v>3547025.35</v>
      </c>
      <c r="F725" s="79" t="s">
        <v>844</v>
      </c>
    </row>
    <row r="726" spans="1:6" x14ac:dyDescent="0.2">
      <c r="A726" s="79" t="s">
        <v>1013</v>
      </c>
      <c r="B726" s="79" t="s">
        <v>1084</v>
      </c>
      <c r="C726" s="82">
        <v>35368093.829999998</v>
      </c>
      <c r="D726" s="82">
        <v>32429057.109999999</v>
      </c>
      <c r="E726" s="82">
        <v>2939036.72</v>
      </c>
      <c r="F726" s="79" t="s">
        <v>1085</v>
      </c>
    </row>
    <row r="727" spans="1:6" x14ac:dyDescent="0.2">
      <c r="A727" s="79" t="s">
        <v>1013</v>
      </c>
      <c r="B727" s="79" t="s">
        <v>1015</v>
      </c>
      <c r="C727" s="82">
        <v>0</v>
      </c>
      <c r="D727" s="82">
        <v>0</v>
      </c>
      <c r="E727" s="82">
        <v>0</v>
      </c>
      <c r="F727" s="79" t="s">
        <v>132</v>
      </c>
    </row>
    <row r="728" spans="1:6" x14ac:dyDescent="0.2">
      <c r="A728" s="79" t="s">
        <v>1013</v>
      </c>
      <c r="B728" s="83" t="s">
        <v>312</v>
      </c>
      <c r="C728" s="82">
        <v>0</v>
      </c>
      <c r="D728" s="82">
        <v>0</v>
      </c>
      <c r="E728" s="82">
        <v>0</v>
      </c>
      <c r="F728" s="79" t="s">
        <v>132</v>
      </c>
    </row>
    <row r="729" spans="1:6" x14ac:dyDescent="0.2">
      <c r="A729" s="79" t="s">
        <v>1086</v>
      </c>
      <c r="B729" s="79" t="s">
        <v>1087</v>
      </c>
      <c r="C729" s="82">
        <v>0</v>
      </c>
      <c r="D729" s="82">
        <v>0</v>
      </c>
      <c r="E729" s="82">
        <v>0</v>
      </c>
      <c r="F729" s="79" t="s">
        <v>132</v>
      </c>
    </row>
    <row r="730" spans="1:6" x14ac:dyDescent="0.2">
      <c r="A730" s="79" t="s">
        <v>1086</v>
      </c>
      <c r="B730" s="83" t="s">
        <v>504</v>
      </c>
      <c r="C730" s="82">
        <v>0</v>
      </c>
      <c r="D730" s="82">
        <v>0</v>
      </c>
      <c r="E730" s="82">
        <v>0</v>
      </c>
      <c r="F730" s="79" t="s">
        <v>132</v>
      </c>
    </row>
    <row r="731" spans="1:6" x14ac:dyDescent="0.2">
      <c r="A731" s="79" t="s">
        <v>1088</v>
      </c>
      <c r="B731" s="79" t="s">
        <v>1089</v>
      </c>
      <c r="C731" s="82">
        <v>27962115.719999999</v>
      </c>
      <c r="D731" s="82">
        <v>29138617.879999999</v>
      </c>
      <c r="E731" s="82">
        <v>-1176502.1599999999</v>
      </c>
      <c r="F731" s="79" t="s">
        <v>1090</v>
      </c>
    </row>
    <row r="732" spans="1:6" x14ac:dyDescent="0.2">
      <c r="A732" s="79" t="s">
        <v>1088</v>
      </c>
      <c r="B732" s="79" t="s">
        <v>1091</v>
      </c>
      <c r="C732" s="82">
        <v>7394074.1699999999</v>
      </c>
      <c r="D732" s="82">
        <v>5877596.2699999996</v>
      </c>
      <c r="E732" s="82">
        <v>1516477.9</v>
      </c>
      <c r="F732" s="79" t="s">
        <v>1092</v>
      </c>
    </row>
    <row r="733" spans="1:6" x14ac:dyDescent="0.2">
      <c r="A733" s="79" t="s">
        <v>1088</v>
      </c>
      <c r="B733" s="79" t="s">
        <v>1093</v>
      </c>
      <c r="C733" s="82">
        <v>28022.42</v>
      </c>
      <c r="D733" s="82">
        <v>22989.73</v>
      </c>
      <c r="E733" s="82">
        <v>5032.6899999999996</v>
      </c>
      <c r="F733" s="79" t="s">
        <v>357</v>
      </c>
    </row>
    <row r="734" spans="1:6" x14ac:dyDescent="0.2">
      <c r="A734" s="79" t="s">
        <v>1088</v>
      </c>
      <c r="B734" s="79" t="s">
        <v>1094</v>
      </c>
      <c r="C734" s="82">
        <v>1610728.18</v>
      </c>
      <c r="D734" s="82">
        <v>1195837.19</v>
      </c>
      <c r="E734" s="82">
        <v>414890.99</v>
      </c>
      <c r="F734" s="79" t="s">
        <v>1095</v>
      </c>
    </row>
    <row r="735" spans="1:6" x14ac:dyDescent="0.2">
      <c r="A735" s="79" t="s">
        <v>1088</v>
      </c>
      <c r="B735" s="79" t="s">
        <v>1096</v>
      </c>
      <c r="C735" s="82">
        <v>1198568.25</v>
      </c>
      <c r="D735" s="82">
        <v>1090279.1599999999</v>
      </c>
      <c r="E735" s="82">
        <v>108289.09</v>
      </c>
      <c r="F735" s="79" t="s">
        <v>1097</v>
      </c>
    </row>
    <row r="736" spans="1:6" x14ac:dyDescent="0.2">
      <c r="A736" s="79" t="s">
        <v>1088</v>
      </c>
      <c r="B736" s="79" t="s">
        <v>1098</v>
      </c>
      <c r="C736" s="82">
        <v>15313288.67</v>
      </c>
      <c r="D736" s="82">
        <v>14828942.189999999</v>
      </c>
      <c r="E736" s="82">
        <v>484346.48</v>
      </c>
      <c r="F736" s="79" t="s">
        <v>1099</v>
      </c>
    </row>
    <row r="737" spans="1:6" x14ac:dyDescent="0.2">
      <c r="A737" s="79" t="s">
        <v>1088</v>
      </c>
      <c r="B737" s="79" t="s">
        <v>1100</v>
      </c>
      <c r="C737" s="82">
        <v>11910900.27</v>
      </c>
      <c r="D737" s="82">
        <v>13358528.1</v>
      </c>
      <c r="E737" s="82">
        <v>-1447627.83</v>
      </c>
      <c r="F737" s="79" t="s">
        <v>1558</v>
      </c>
    </row>
    <row r="738" spans="1:6" x14ac:dyDescent="0.2">
      <c r="A738" s="79" t="s">
        <v>1088</v>
      </c>
      <c r="B738" s="79" t="s">
        <v>1101</v>
      </c>
      <c r="C738" s="82">
        <v>4033531.96</v>
      </c>
      <c r="D738" s="82">
        <v>3785411.67</v>
      </c>
      <c r="E738" s="82">
        <v>248120.29</v>
      </c>
      <c r="F738" s="79" t="s">
        <v>1044</v>
      </c>
    </row>
    <row r="739" spans="1:6" x14ac:dyDescent="0.2">
      <c r="A739" s="79" t="s">
        <v>1088</v>
      </c>
      <c r="B739" s="79" t="s">
        <v>1102</v>
      </c>
      <c r="C739" s="82">
        <v>1297403.46</v>
      </c>
      <c r="D739" s="82">
        <v>1273559.96</v>
      </c>
      <c r="E739" s="82">
        <v>23843.5</v>
      </c>
      <c r="F739" s="79" t="s">
        <v>198</v>
      </c>
    </row>
    <row r="740" spans="1:6" x14ac:dyDescent="0.2">
      <c r="A740" s="79" t="s">
        <v>1088</v>
      </c>
      <c r="B740" s="79" t="s">
        <v>1103</v>
      </c>
      <c r="C740" s="82">
        <v>156001.43</v>
      </c>
      <c r="D740" s="82">
        <v>150085.01</v>
      </c>
      <c r="E740" s="82">
        <v>5916.42</v>
      </c>
      <c r="F740" s="79" t="s">
        <v>618</v>
      </c>
    </row>
    <row r="741" spans="1:6" x14ac:dyDescent="0.2">
      <c r="A741" s="79" t="s">
        <v>1088</v>
      </c>
      <c r="B741" s="79" t="s">
        <v>1104</v>
      </c>
      <c r="C741" s="82">
        <v>4028209.08</v>
      </c>
      <c r="D741" s="82">
        <v>3538829.08</v>
      </c>
      <c r="E741" s="82">
        <v>489380</v>
      </c>
      <c r="F741" s="79" t="s">
        <v>693</v>
      </c>
    </row>
    <row r="742" spans="1:6" x14ac:dyDescent="0.2">
      <c r="A742" s="79" t="s">
        <v>1088</v>
      </c>
      <c r="B742" s="79" t="s">
        <v>1105</v>
      </c>
      <c r="C742" s="82">
        <v>29498257.449999999</v>
      </c>
      <c r="D742" s="82">
        <v>30241587.469999999</v>
      </c>
      <c r="E742" s="82">
        <v>-743330.02</v>
      </c>
      <c r="F742" s="79" t="s">
        <v>1106</v>
      </c>
    </row>
    <row r="743" spans="1:6" x14ac:dyDescent="0.2">
      <c r="A743" s="79" t="s">
        <v>1088</v>
      </c>
      <c r="B743" s="79" t="s">
        <v>132</v>
      </c>
      <c r="C743" s="82">
        <v>104431101.06</v>
      </c>
      <c r="D743" s="82">
        <v>104502263.70999999</v>
      </c>
      <c r="E743" s="82">
        <v>-71162.649999999994</v>
      </c>
      <c r="F743" s="79" t="s">
        <v>1559</v>
      </c>
    </row>
    <row r="744" spans="1:6" x14ac:dyDescent="0.2">
      <c r="A744" s="79" t="s">
        <v>1107</v>
      </c>
      <c r="B744" s="79" t="s">
        <v>1108</v>
      </c>
      <c r="C744" s="82">
        <v>13241133.779999999</v>
      </c>
      <c r="D744" s="82">
        <v>13241133.779999999</v>
      </c>
      <c r="E744" s="82">
        <v>0</v>
      </c>
      <c r="F744" s="79" t="s">
        <v>179</v>
      </c>
    </row>
    <row r="745" spans="1:6" x14ac:dyDescent="0.2">
      <c r="A745" s="79" t="s">
        <v>1107</v>
      </c>
      <c r="B745" s="79" t="s">
        <v>132</v>
      </c>
      <c r="C745" s="82">
        <v>13241133.779999999</v>
      </c>
      <c r="D745" s="82">
        <v>13241133.779999999</v>
      </c>
      <c r="E745" s="82">
        <v>0</v>
      </c>
      <c r="F745" s="79" t="s">
        <v>179</v>
      </c>
    </row>
    <row r="746" spans="1:6" x14ac:dyDescent="0.2">
      <c r="A746" s="79" t="s">
        <v>1109</v>
      </c>
      <c r="B746" s="79" t="s">
        <v>1110</v>
      </c>
      <c r="C746" s="82">
        <v>3883660.28</v>
      </c>
      <c r="D746" s="82">
        <v>3820154.64</v>
      </c>
      <c r="E746" s="82">
        <v>63505.64</v>
      </c>
      <c r="F746" s="79" t="s">
        <v>205</v>
      </c>
    </row>
    <row r="747" spans="1:6" x14ac:dyDescent="0.2">
      <c r="A747" s="79" t="s">
        <v>1109</v>
      </c>
      <c r="B747" s="79" t="s">
        <v>132</v>
      </c>
      <c r="C747" s="82">
        <v>3883660.28</v>
      </c>
      <c r="D747" s="82">
        <v>3820154.64</v>
      </c>
      <c r="E747" s="82">
        <v>63505.64</v>
      </c>
      <c r="F747" s="79" t="s">
        <v>205</v>
      </c>
    </row>
    <row r="748" spans="1:6" x14ac:dyDescent="0.2">
      <c r="A748" s="79" t="s">
        <v>1111</v>
      </c>
      <c r="B748" s="79" t="s">
        <v>1112</v>
      </c>
      <c r="C748" s="82">
        <v>0</v>
      </c>
      <c r="D748" s="82">
        <v>77.22</v>
      </c>
      <c r="E748" s="82">
        <v>-77.22</v>
      </c>
      <c r="F748" s="79" t="s">
        <v>297</v>
      </c>
    </row>
    <row r="749" spans="1:6" x14ac:dyDescent="0.2">
      <c r="A749" s="79" t="s">
        <v>1111</v>
      </c>
      <c r="B749" s="79" t="s">
        <v>132</v>
      </c>
      <c r="C749" s="82">
        <v>0</v>
      </c>
      <c r="D749" s="82">
        <v>77.22</v>
      </c>
      <c r="E749" s="82">
        <v>-77.22</v>
      </c>
      <c r="F749" s="79" t="s">
        <v>297</v>
      </c>
    </row>
    <row r="750" spans="1:6" x14ac:dyDescent="0.2">
      <c r="A750" s="79" t="s">
        <v>1086</v>
      </c>
      <c r="B750" s="79" t="s">
        <v>1113</v>
      </c>
      <c r="C750" s="82">
        <v>121555895.12</v>
      </c>
      <c r="D750" s="82">
        <v>121563629.34999999</v>
      </c>
      <c r="E750" s="82">
        <v>-7734.23</v>
      </c>
      <c r="F750" s="79" t="s">
        <v>179</v>
      </c>
    </row>
    <row r="751" spans="1:6" x14ac:dyDescent="0.2">
      <c r="A751" s="79" t="s">
        <v>1086</v>
      </c>
      <c r="B751" s="83" t="s">
        <v>159</v>
      </c>
      <c r="C751" s="82">
        <v>0</v>
      </c>
      <c r="D751" s="82">
        <v>0</v>
      </c>
      <c r="E751" s="82">
        <v>0</v>
      </c>
      <c r="F751" s="79" t="s">
        <v>132</v>
      </c>
    </row>
    <row r="752" spans="1:6" x14ac:dyDescent="0.2">
      <c r="A752" s="79" t="s">
        <v>1012</v>
      </c>
      <c r="B752" s="79" t="s">
        <v>1114</v>
      </c>
      <c r="C752" s="82">
        <v>156923988.94999999</v>
      </c>
      <c r="D752" s="82">
        <v>153992686.46000001</v>
      </c>
      <c r="E752" s="82">
        <v>2931302.49</v>
      </c>
      <c r="F752" s="79" t="s">
        <v>198</v>
      </c>
    </row>
    <row r="753" spans="1:6" x14ac:dyDescent="0.2">
      <c r="A753" s="79" t="s">
        <v>1012</v>
      </c>
      <c r="B753" s="83" t="s">
        <v>253</v>
      </c>
      <c r="C753" s="82">
        <v>0</v>
      </c>
      <c r="D753" s="82">
        <v>0</v>
      </c>
      <c r="E753" s="82">
        <v>0</v>
      </c>
      <c r="F753" s="79" t="s">
        <v>132</v>
      </c>
    </row>
    <row r="754" spans="1:6" x14ac:dyDescent="0.2">
      <c r="A754" s="79" t="s">
        <v>1116</v>
      </c>
      <c r="B754" s="79" t="s">
        <v>64</v>
      </c>
      <c r="C754" s="82">
        <v>0</v>
      </c>
      <c r="D754" s="82">
        <v>0</v>
      </c>
      <c r="E754" s="82">
        <v>0</v>
      </c>
      <c r="F754" s="79" t="s">
        <v>132</v>
      </c>
    </row>
    <row r="755" spans="1:6" x14ac:dyDescent="0.2">
      <c r="A755" s="79" t="s">
        <v>1116</v>
      </c>
      <c r="B755" s="83" t="s">
        <v>566</v>
      </c>
      <c r="C755" s="82">
        <v>0</v>
      </c>
      <c r="D755" s="82">
        <v>0</v>
      </c>
      <c r="E755" s="82">
        <v>0</v>
      </c>
      <c r="F755" s="79" t="s">
        <v>132</v>
      </c>
    </row>
    <row r="756" spans="1:6" x14ac:dyDescent="0.2">
      <c r="A756" s="79" t="s">
        <v>1117</v>
      </c>
      <c r="B756" s="79" t="s">
        <v>65</v>
      </c>
      <c r="C756" s="82">
        <v>0</v>
      </c>
      <c r="D756" s="82">
        <v>0</v>
      </c>
      <c r="E756" s="82">
        <v>0</v>
      </c>
      <c r="F756" s="79" t="s">
        <v>132</v>
      </c>
    </row>
    <row r="757" spans="1:6" x14ac:dyDescent="0.2">
      <c r="A757" s="79" t="s">
        <v>1117</v>
      </c>
      <c r="B757" s="83" t="s">
        <v>253</v>
      </c>
      <c r="C757" s="82">
        <v>0</v>
      </c>
      <c r="D757" s="82">
        <v>0</v>
      </c>
      <c r="E757" s="82">
        <v>0</v>
      </c>
      <c r="F757" s="79" t="s">
        <v>132</v>
      </c>
    </row>
    <row r="758" spans="1:6" x14ac:dyDescent="0.2">
      <c r="A758" s="79" t="s">
        <v>1118</v>
      </c>
      <c r="B758" s="79" t="s">
        <v>1119</v>
      </c>
      <c r="C758" s="82">
        <v>0</v>
      </c>
      <c r="D758" s="82">
        <v>0</v>
      </c>
      <c r="E758" s="82">
        <v>0</v>
      </c>
      <c r="F758" s="79" t="s">
        <v>132</v>
      </c>
    </row>
    <row r="759" spans="1:6" x14ac:dyDescent="0.2">
      <c r="A759" s="79" t="s">
        <v>1118</v>
      </c>
      <c r="B759" s="83" t="s">
        <v>700</v>
      </c>
      <c r="C759" s="82">
        <v>0</v>
      </c>
      <c r="D759" s="82">
        <v>0</v>
      </c>
      <c r="E759" s="82">
        <v>0</v>
      </c>
      <c r="F759" s="79" t="s">
        <v>132</v>
      </c>
    </row>
    <row r="760" spans="1:6" x14ac:dyDescent="0.2">
      <c r="A760" s="79" t="s">
        <v>1118</v>
      </c>
      <c r="B760" s="79" t="s">
        <v>1120</v>
      </c>
      <c r="C760" s="82">
        <v>83101781.219999999</v>
      </c>
      <c r="D760" s="82">
        <v>78882433.519999996</v>
      </c>
      <c r="E760" s="82">
        <v>4219347.7</v>
      </c>
      <c r="F760" s="79" t="s">
        <v>1121</v>
      </c>
    </row>
    <row r="761" spans="1:6" x14ac:dyDescent="0.2">
      <c r="A761" s="79" t="s">
        <v>1118</v>
      </c>
      <c r="B761" s="79" t="s">
        <v>1122</v>
      </c>
      <c r="C761" s="82">
        <v>635381.16</v>
      </c>
      <c r="D761" s="82">
        <v>534667.51</v>
      </c>
      <c r="E761" s="82">
        <v>100713.65</v>
      </c>
      <c r="F761" s="79" t="s">
        <v>1123</v>
      </c>
    </row>
    <row r="762" spans="1:6" x14ac:dyDescent="0.2">
      <c r="A762" s="79" t="s">
        <v>1118</v>
      </c>
      <c r="B762" s="79" t="s">
        <v>1124</v>
      </c>
      <c r="C762" s="82">
        <v>822072.76</v>
      </c>
      <c r="D762" s="82">
        <v>827649.33</v>
      </c>
      <c r="E762" s="82">
        <v>-5576.57</v>
      </c>
      <c r="F762" s="79" t="s">
        <v>745</v>
      </c>
    </row>
    <row r="763" spans="1:6" x14ac:dyDescent="0.2">
      <c r="A763" s="79" t="s">
        <v>1118</v>
      </c>
      <c r="B763" s="79" t="s">
        <v>1125</v>
      </c>
      <c r="C763" s="82">
        <v>876966.03</v>
      </c>
      <c r="D763" s="82">
        <v>747049.56</v>
      </c>
      <c r="E763" s="82">
        <v>129916.47</v>
      </c>
      <c r="F763" s="79" t="s">
        <v>1126</v>
      </c>
    </row>
    <row r="764" spans="1:6" x14ac:dyDescent="0.2">
      <c r="A764" s="79" t="s">
        <v>1118</v>
      </c>
      <c r="B764" s="79" t="s">
        <v>1127</v>
      </c>
      <c r="C764" s="82">
        <v>4498247.74</v>
      </c>
      <c r="D764" s="82">
        <v>4262344.26</v>
      </c>
      <c r="E764" s="82">
        <v>235903.48</v>
      </c>
      <c r="F764" s="79" t="s">
        <v>559</v>
      </c>
    </row>
    <row r="765" spans="1:6" x14ac:dyDescent="0.2">
      <c r="A765" s="79" t="s">
        <v>1118</v>
      </c>
      <c r="B765" s="79" t="s">
        <v>1128</v>
      </c>
      <c r="C765" s="82">
        <v>6642251.2599999998</v>
      </c>
      <c r="D765" s="82">
        <v>5683839.8899999997</v>
      </c>
      <c r="E765" s="82">
        <v>958411.37</v>
      </c>
      <c r="F765" s="79" t="s">
        <v>1129</v>
      </c>
    </row>
    <row r="766" spans="1:6" x14ac:dyDescent="0.2">
      <c r="A766" s="79" t="s">
        <v>1118</v>
      </c>
      <c r="B766" s="79" t="s">
        <v>1130</v>
      </c>
      <c r="C766" s="82">
        <v>-3939574.53</v>
      </c>
      <c r="D766" s="82">
        <v>-3474639.99</v>
      </c>
      <c r="E766" s="82">
        <v>-464934.54</v>
      </c>
      <c r="F766" s="79" t="s">
        <v>721</v>
      </c>
    </row>
    <row r="767" spans="1:6" x14ac:dyDescent="0.2">
      <c r="A767" s="79" t="s">
        <v>1118</v>
      </c>
      <c r="B767" s="79" t="s">
        <v>132</v>
      </c>
      <c r="C767" s="82">
        <v>92637125.640000001</v>
      </c>
      <c r="D767" s="82">
        <v>87463344.079999998</v>
      </c>
      <c r="E767" s="82">
        <v>5173781.5599999996</v>
      </c>
      <c r="F767" s="79" t="s">
        <v>563</v>
      </c>
    </row>
    <row r="768" spans="1:6" x14ac:dyDescent="0.2">
      <c r="A768" s="79" t="s">
        <v>1131</v>
      </c>
      <c r="B768" s="79" t="s">
        <v>1132</v>
      </c>
      <c r="C768" s="82">
        <v>0</v>
      </c>
      <c r="D768" s="82">
        <v>0</v>
      </c>
      <c r="E768" s="82">
        <v>0</v>
      </c>
      <c r="F768" s="79" t="s">
        <v>132</v>
      </c>
    </row>
    <row r="769" spans="1:6" x14ac:dyDescent="0.2">
      <c r="A769" s="79" t="s">
        <v>1131</v>
      </c>
      <c r="B769" s="83" t="s">
        <v>139</v>
      </c>
      <c r="C769" s="82">
        <v>0</v>
      </c>
      <c r="D769" s="82">
        <v>0</v>
      </c>
      <c r="E769" s="82">
        <v>0</v>
      </c>
      <c r="F769" s="79" t="s">
        <v>132</v>
      </c>
    </row>
    <row r="770" spans="1:6" x14ac:dyDescent="0.2">
      <c r="A770" s="79" t="s">
        <v>1131</v>
      </c>
      <c r="B770" s="79" t="s">
        <v>1133</v>
      </c>
      <c r="C770" s="82">
        <v>1337643.76</v>
      </c>
      <c r="D770" s="82">
        <v>542730.01</v>
      </c>
      <c r="E770" s="82">
        <v>794913.75</v>
      </c>
      <c r="F770" s="79" t="s">
        <v>1134</v>
      </c>
    </row>
    <row r="771" spans="1:6" x14ac:dyDescent="0.2">
      <c r="A771" s="79" t="s">
        <v>1131</v>
      </c>
      <c r="B771" s="79" t="s">
        <v>1135</v>
      </c>
      <c r="C771" s="82">
        <v>566468.32999999996</v>
      </c>
      <c r="D771" s="82">
        <v>206591.77</v>
      </c>
      <c r="E771" s="82">
        <v>359876.56</v>
      </c>
      <c r="F771" s="79" t="s">
        <v>1136</v>
      </c>
    </row>
    <row r="772" spans="1:6" x14ac:dyDescent="0.2">
      <c r="A772" s="79" t="s">
        <v>1131</v>
      </c>
      <c r="B772" s="79" t="s">
        <v>1137</v>
      </c>
      <c r="C772" s="82">
        <v>49129.02</v>
      </c>
      <c r="D772" s="82">
        <v>141941.93</v>
      </c>
      <c r="E772" s="82">
        <v>-92812.91</v>
      </c>
      <c r="F772" s="79" t="s">
        <v>1138</v>
      </c>
    </row>
    <row r="773" spans="1:6" x14ac:dyDescent="0.2">
      <c r="A773" s="79" t="s">
        <v>1131</v>
      </c>
      <c r="B773" s="79" t="s">
        <v>1139</v>
      </c>
      <c r="C773" s="82">
        <v>39021.550000000003</v>
      </c>
      <c r="D773" s="82">
        <v>11164.53</v>
      </c>
      <c r="E773" s="82">
        <v>27857.02</v>
      </c>
      <c r="F773" s="79" t="s">
        <v>1140</v>
      </c>
    </row>
    <row r="774" spans="1:6" x14ac:dyDescent="0.2">
      <c r="A774" s="79" t="s">
        <v>1131</v>
      </c>
      <c r="B774" s="79" t="s">
        <v>1141</v>
      </c>
      <c r="C774" s="82">
        <v>38117.75</v>
      </c>
      <c r="D774" s="82">
        <v>118322.39</v>
      </c>
      <c r="E774" s="82">
        <v>-80204.639999999999</v>
      </c>
      <c r="F774" s="79" t="s">
        <v>1142</v>
      </c>
    </row>
    <row r="775" spans="1:6" x14ac:dyDescent="0.2">
      <c r="A775" s="79" t="s">
        <v>1131</v>
      </c>
      <c r="B775" s="79" t="s">
        <v>1143</v>
      </c>
      <c r="C775" s="82">
        <v>20847.939999999999</v>
      </c>
      <c r="D775" s="82">
        <v>20948.439999999999</v>
      </c>
      <c r="E775" s="82">
        <v>-100.5</v>
      </c>
      <c r="F775" s="79" t="s">
        <v>275</v>
      </c>
    </row>
    <row r="776" spans="1:6" x14ac:dyDescent="0.2">
      <c r="A776" s="79" t="s">
        <v>1131</v>
      </c>
      <c r="B776" s="79" t="s">
        <v>132</v>
      </c>
      <c r="C776" s="82">
        <v>2051228.35</v>
      </c>
      <c r="D776" s="82">
        <v>1041699.07</v>
      </c>
      <c r="E776" s="82">
        <v>1009529.28</v>
      </c>
      <c r="F776" s="79" t="s">
        <v>1144</v>
      </c>
    </row>
    <row r="777" spans="1:6" x14ac:dyDescent="0.2">
      <c r="A777" s="79" t="s">
        <v>1117</v>
      </c>
      <c r="B777" s="79" t="s">
        <v>1145</v>
      </c>
      <c r="C777" s="82">
        <v>94688353.989999995</v>
      </c>
      <c r="D777" s="82">
        <v>88505043.150000006</v>
      </c>
      <c r="E777" s="82">
        <v>6183310.8399999999</v>
      </c>
      <c r="F777" s="79" t="s">
        <v>1146</v>
      </c>
    </row>
    <row r="778" spans="1:6" x14ac:dyDescent="0.2">
      <c r="A778" s="79" t="s">
        <v>1147</v>
      </c>
      <c r="B778" s="79" t="s">
        <v>1148</v>
      </c>
      <c r="C778" s="82">
        <v>0</v>
      </c>
      <c r="D778" s="82">
        <v>0</v>
      </c>
      <c r="E778" s="82">
        <v>0</v>
      </c>
      <c r="F778" s="79" t="s">
        <v>132</v>
      </c>
    </row>
    <row r="779" spans="1:6" x14ac:dyDescent="0.2">
      <c r="A779" s="79" t="s">
        <v>1147</v>
      </c>
      <c r="B779" s="79" t="s">
        <v>1149</v>
      </c>
      <c r="C779" s="82">
        <v>0</v>
      </c>
      <c r="D779" s="82">
        <v>0</v>
      </c>
      <c r="E779" s="82">
        <v>0</v>
      </c>
      <c r="F779" s="79" t="s">
        <v>132</v>
      </c>
    </row>
    <row r="780" spans="1:6" x14ac:dyDescent="0.2">
      <c r="A780" s="79" t="s">
        <v>1147</v>
      </c>
      <c r="B780" s="83" t="s">
        <v>312</v>
      </c>
      <c r="C780" s="82">
        <v>0</v>
      </c>
      <c r="D780" s="82">
        <v>0</v>
      </c>
      <c r="E780" s="82">
        <v>0</v>
      </c>
      <c r="F780" s="79" t="s">
        <v>132</v>
      </c>
    </row>
    <row r="781" spans="1:6" x14ac:dyDescent="0.2">
      <c r="A781" s="79" t="s">
        <v>1150</v>
      </c>
      <c r="B781" s="79" t="s">
        <v>1151</v>
      </c>
      <c r="C781" s="82">
        <v>0</v>
      </c>
      <c r="D781" s="82">
        <v>0</v>
      </c>
      <c r="E781" s="82">
        <v>0</v>
      </c>
      <c r="F781" s="79" t="s">
        <v>132</v>
      </c>
    </row>
    <row r="782" spans="1:6" x14ac:dyDescent="0.2">
      <c r="A782" s="79" t="s">
        <v>1150</v>
      </c>
      <c r="B782" s="83" t="s">
        <v>566</v>
      </c>
      <c r="C782" s="82">
        <v>0</v>
      </c>
      <c r="D782" s="82">
        <v>0</v>
      </c>
      <c r="E782" s="82">
        <v>0</v>
      </c>
      <c r="F782" s="79" t="s">
        <v>132</v>
      </c>
    </row>
    <row r="783" spans="1:6" x14ac:dyDescent="0.2">
      <c r="A783" s="79" t="s">
        <v>1150</v>
      </c>
      <c r="B783" s="79" t="s">
        <v>1152</v>
      </c>
      <c r="C783" s="82">
        <v>17127099.350000001</v>
      </c>
      <c r="D783" s="82">
        <v>15740483.18</v>
      </c>
      <c r="E783" s="82">
        <v>1386616.17</v>
      </c>
      <c r="F783" s="79" t="s">
        <v>1153</v>
      </c>
    </row>
    <row r="784" spans="1:6" x14ac:dyDescent="0.2">
      <c r="A784" s="79" t="s">
        <v>1150</v>
      </c>
      <c r="B784" s="79" t="s">
        <v>1154</v>
      </c>
      <c r="C784" s="82">
        <v>186179.03</v>
      </c>
      <c r="D784" s="82">
        <v>179970.23</v>
      </c>
      <c r="E784" s="82">
        <v>6208.8</v>
      </c>
      <c r="F784" s="79" t="s">
        <v>1155</v>
      </c>
    </row>
    <row r="785" spans="1:6" x14ac:dyDescent="0.2">
      <c r="A785" s="79" t="s">
        <v>1150</v>
      </c>
      <c r="B785" s="79" t="s">
        <v>1156</v>
      </c>
      <c r="C785" s="82">
        <v>210067.36</v>
      </c>
      <c r="D785" s="82">
        <v>171351.21</v>
      </c>
      <c r="E785" s="82">
        <v>38716.15</v>
      </c>
      <c r="F785" s="79" t="s">
        <v>1157</v>
      </c>
    </row>
    <row r="786" spans="1:6" x14ac:dyDescent="0.2">
      <c r="A786" s="79" t="s">
        <v>1150</v>
      </c>
      <c r="B786" s="79" t="s">
        <v>1158</v>
      </c>
      <c r="C786" s="82">
        <v>498477.49</v>
      </c>
      <c r="D786" s="82">
        <v>454647.79</v>
      </c>
      <c r="E786" s="82">
        <v>43829.7</v>
      </c>
      <c r="F786" s="79" t="s">
        <v>1159</v>
      </c>
    </row>
    <row r="787" spans="1:6" x14ac:dyDescent="0.2">
      <c r="A787" s="79" t="s">
        <v>1150</v>
      </c>
      <c r="B787" s="79" t="s">
        <v>1160</v>
      </c>
      <c r="C787" s="82">
        <v>425397.9</v>
      </c>
      <c r="D787" s="82">
        <v>369643.86</v>
      </c>
      <c r="E787" s="82">
        <v>55754.04</v>
      </c>
      <c r="F787" s="79" t="s">
        <v>295</v>
      </c>
    </row>
    <row r="788" spans="1:6" x14ac:dyDescent="0.2">
      <c r="A788" s="79" t="s">
        <v>1150</v>
      </c>
      <c r="B788" s="79" t="s">
        <v>1161</v>
      </c>
      <c r="C788" s="82">
        <v>1179853.94</v>
      </c>
      <c r="D788" s="82">
        <v>994359.39</v>
      </c>
      <c r="E788" s="82">
        <v>185494.55</v>
      </c>
      <c r="F788" s="79" t="s">
        <v>1162</v>
      </c>
    </row>
    <row r="789" spans="1:6" x14ac:dyDescent="0.2">
      <c r="A789" s="79" t="s">
        <v>1150</v>
      </c>
      <c r="B789" s="79" t="s">
        <v>1163</v>
      </c>
      <c r="C789" s="82">
        <v>-951861.4</v>
      </c>
      <c r="D789" s="82">
        <v>-802724.53</v>
      </c>
      <c r="E789" s="82">
        <v>-149136.87</v>
      </c>
      <c r="F789" s="79" t="s">
        <v>1164</v>
      </c>
    </row>
    <row r="790" spans="1:6" x14ac:dyDescent="0.2">
      <c r="A790" s="79" t="s">
        <v>1150</v>
      </c>
      <c r="B790" s="79" t="s">
        <v>132</v>
      </c>
      <c r="C790" s="82">
        <v>18675213.670000002</v>
      </c>
      <c r="D790" s="82">
        <v>17107731.129999999</v>
      </c>
      <c r="E790" s="82">
        <v>1567482.54</v>
      </c>
      <c r="F790" s="79" t="s">
        <v>428</v>
      </c>
    </row>
    <row r="791" spans="1:6" x14ac:dyDescent="0.2">
      <c r="A791" s="79" t="s">
        <v>1165</v>
      </c>
      <c r="B791" s="79" t="s">
        <v>1166</v>
      </c>
      <c r="C791" s="82">
        <v>0</v>
      </c>
      <c r="D791" s="82">
        <v>0</v>
      </c>
      <c r="E791" s="82">
        <v>0</v>
      </c>
      <c r="F791" s="79" t="s">
        <v>132</v>
      </c>
    </row>
    <row r="792" spans="1:6" x14ac:dyDescent="0.2">
      <c r="A792" s="79" t="s">
        <v>1165</v>
      </c>
      <c r="B792" s="83" t="s">
        <v>570</v>
      </c>
      <c r="C792" s="82">
        <v>0</v>
      </c>
      <c r="D792" s="82">
        <v>0</v>
      </c>
      <c r="E792" s="82">
        <v>0</v>
      </c>
      <c r="F792" s="79" t="s">
        <v>132</v>
      </c>
    </row>
    <row r="793" spans="1:6" x14ac:dyDescent="0.2">
      <c r="A793" s="79" t="s">
        <v>1165</v>
      </c>
      <c r="B793" s="79" t="s">
        <v>1167</v>
      </c>
      <c r="C793" s="82">
        <v>0</v>
      </c>
      <c r="D793" s="82">
        <v>1439.04</v>
      </c>
      <c r="E793" s="82">
        <v>-1439.04</v>
      </c>
      <c r="F793" s="79" t="s">
        <v>297</v>
      </c>
    </row>
    <row r="794" spans="1:6" x14ac:dyDescent="0.2">
      <c r="A794" s="79" t="s">
        <v>1165</v>
      </c>
      <c r="B794" s="79" t="s">
        <v>1168</v>
      </c>
      <c r="C794" s="82">
        <v>6664142.7599999998</v>
      </c>
      <c r="D794" s="82">
        <v>6415866.0199999996</v>
      </c>
      <c r="E794" s="82">
        <v>248276.74</v>
      </c>
      <c r="F794" s="79" t="s">
        <v>618</v>
      </c>
    </row>
    <row r="795" spans="1:6" x14ac:dyDescent="0.2">
      <c r="A795" s="79" t="s">
        <v>1165</v>
      </c>
      <c r="B795" s="79" t="s">
        <v>1169</v>
      </c>
      <c r="C795" s="82">
        <v>61438.38</v>
      </c>
      <c r="D795" s="82">
        <v>63830.49</v>
      </c>
      <c r="E795" s="82">
        <v>-2392.11</v>
      </c>
      <c r="F795" s="79" t="s">
        <v>925</v>
      </c>
    </row>
    <row r="796" spans="1:6" x14ac:dyDescent="0.2">
      <c r="A796" s="79" t="s">
        <v>1165</v>
      </c>
      <c r="B796" s="79" t="s">
        <v>1170</v>
      </c>
      <c r="C796" s="82">
        <v>70130.960000000006</v>
      </c>
      <c r="D796" s="82">
        <v>59074.41</v>
      </c>
      <c r="E796" s="82">
        <v>11056.55</v>
      </c>
      <c r="F796" s="79" t="s">
        <v>1162</v>
      </c>
    </row>
    <row r="797" spans="1:6" x14ac:dyDescent="0.2">
      <c r="A797" s="79" t="s">
        <v>1165</v>
      </c>
      <c r="B797" s="79" t="s">
        <v>1171</v>
      </c>
      <c r="C797" s="82">
        <v>-378306.65</v>
      </c>
      <c r="D797" s="82">
        <v>163346.74</v>
      </c>
      <c r="E797" s="82">
        <v>-541653.39</v>
      </c>
      <c r="F797" s="79" t="s">
        <v>1172</v>
      </c>
    </row>
    <row r="798" spans="1:6" x14ac:dyDescent="0.2">
      <c r="A798" s="79" t="s">
        <v>1165</v>
      </c>
      <c r="B798" s="79" t="s">
        <v>1173</v>
      </c>
      <c r="C798" s="82">
        <v>6417405.4500000002</v>
      </c>
      <c r="D798" s="82">
        <v>6703556.7000000002</v>
      </c>
      <c r="E798" s="82">
        <v>-286151.25</v>
      </c>
      <c r="F798" s="79" t="s">
        <v>1174</v>
      </c>
    </row>
    <row r="799" spans="1:6" x14ac:dyDescent="0.2">
      <c r="A799" s="79" t="s">
        <v>1175</v>
      </c>
      <c r="B799" s="79" t="s">
        <v>1176</v>
      </c>
      <c r="C799" s="82">
        <v>0</v>
      </c>
      <c r="D799" s="82">
        <v>0</v>
      </c>
      <c r="E799" s="82">
        <v>0</v>
      </c>
      <c r="F799" s="79" t="s">
        <v>132</v>
      </c>
    </row>
    <row r="800" spans="1:6" x14ac:dyDescent="0.2">
      <c r="A800" s="79" t="s">
        <v>1175</v>
      </c>
      <c r="B800" s="83" t="s">
        <v>307</v>
      </c>
      <c r="C800" s="82">
        <v>0</v>
      </c>
      <c r="D800" s="82">
        <v>0</v>
      </c>
      <c r="E800" s="82">
        <v>0</v>
      </c>
      <c r="F800" s="79" t="s">
        <v>132</v>
      </c>
    </row>
    <row r="801" spans="1:6" x14ac:dyDescent="0.2">
      <c r="A801" s="79" t="s">
        <v>1175</v>
      </c>
      <c r="B801" s="79" t="s">
        <v>1177</v>
      </c>
      <c r="C801" s="82">
        <v>70493.63</v>
      </c>
      <c r="D801" s="82">
        <v>117586.87</v>
      </c>
      <c r="E801" s="82">
        <v>-47093.24</v>
      </c>
      <c r="F801" s="79" t="s">
        <v>1178</v>
      </c>
    </row>
    <row r="802" spans="1:6" x14ac:dyDescent="0.2">
      <c r="A802" s="79" t="s">
        <v>1175</v>
      </c>
      <c r="B802" s="79" t="s">
        <v>1179</v>
      </c>
      <c r="C802" s="82">
        <v>5116.8</v>
      </c>
      <c r="D802" s="82">
        <v>8095.71</v>
      </c>
      <c r="E802" s="82">
        <v>-2978.91</v>
      </c>
      <c r="F802" s="79" t="s">
        <v>1180</v>
      </c>
    </row>
    <row r="803" spans="1:6" x14ac:dyDescent="0.2">
      <c r="A803" s="79" t="s">
        <v>1175</v>
      </c>
      <c r="B803" s="79" t="s">
        <v>132</v>
      </c>
      <c r="C803" s="82">
        <v>75610.429999999993</v>
      </c>
      <c r="D803" s="82">
        <v>125682.58</v>
      </c>
      <c r="E803" s="82">
        <v>-50072.15</v>
      </c>
      <c r="F803" s="79" t="s">
        <v>353</v>
      </c>
    </row>
    <row r="804" spans="1:6" x14ac:dyDescent="0.2">
      <c r="A804" s="79" t="s">
        <v>1147</v>
      </c>
      <c r="B804" s="79" t="s">
        <v>1181</v>
      </c>
      <c r="C804" s="82">
        <v>25168229.550000001</v>
      </c>
      <c r="D804" s="82">
        <v>23936970.41</v>
      </c>
      <c r="E804" s="82">
        <v>1231259.1399999999</v>
      </c>
      <c r="F804" s="79" t="s">
        <v>1182</v>
      </c>
    </row>
    <row r="805" spans="1:6" x14ac:dyDescent="0.2">
      <c r="A805" s="79" t="s">
        <v>1147</v>
      </c>
      <c r="B805" s="79" t="s">
        <v>1149</v>
      </c>
      <c r="C805" s="82">
        <v>0</v>
      </c>
      <c r="D805" s="82">
        <v>0</v>
      </c>
      <c r="E805" s="82">
        <v>0</v>
      </c>
      <c r="F805" s="79" t="s">
        <v>132</v>
      </c>
    </row>
    <row r="806" spans="1:6" x14ac:dyDescent="0.2">
      <c r="A806" s="79" t="s">
        <v>1147</v>
      </c>
      <c r="B806" s="83" t="s">
        <v>965</v>
      </c>
      <c r="C806" s="82">
        <v>0</v>
      </c>
      <c r="D806" s="82">
        <v>0</v>
      </c>
      <c r="E806" s="82">
        <v>0</v>
      </c>
      <c r="F806" s="79" t="s">
        <v>132</v>
      </c>
    </row>
    <row r="807" spans="1:6" x14ac:dyDescent="0.2">
      <c r="A807" s="79" t="s">
        <v>1116</v>
      </c>
      <c r="B807" s="79" t="s">
        <v>1183</v>
      </c>
      <c r="C807" s="82">
        <v>119856583.54000001</v>
      </c>
      <c r="D807" s="82">
        <v>112442013.56</v>
      </c>
      <c r="E807" s="82">
        <v>7414569.9800000004</v>
      </c>
      <c r="F807" s="79" t="s">
        <v>1044</v>
      </c>
    </row>
    <row r="808" spans="1:6" x14ac:dyDescent="0.2">
      <c r="A808" s="79" t="s">
        <v>1116</v>
      </c>
      <c r="B808" s="83" t="s">
        <v>153</v>
      </c>
      <c r="C808" s="82">
        <v>0</v>
      </c>
      <c r="D808" s="82">
        <v>0</v>
      </c>
      <c r="E808" s="82">
        <v>0</v>
      </c>
      <c r="F808" s="79" t="s">
        <v>132</v>
      </c>
    </row>
    <row r="809" spans="1:6" x14ac:dyDescent="0.2">
      <c r="A809" s="79" t="s">
        <v>1184</v>
      </c>
      <c r="B809" s="79" t="s">
        <v>1185</v>
      </c>
      <c r="C809" s="82">
        <v>0</v>
      </c>
      <c r="D809" s="82">
        <v>0</v>
      </c>
      <c r="E809" s="82">
        <v>0</v>
      </c>
      <c r="F809" s="79" t="s">
        <v>132</v>
      </c>
    </row>
    <row r="810" spans="1:6" x14ac:dyDescent="0.2">
      <c r="A810" s="79" t="s">
        <v>1184</v>
      </c>
      <c r="B810" s="79" t="s">
        <v>1186</v>
      </c>
      <c r="C810" s="82">
        <v>0</v>
      </c>
      <c r="D810" s="82">
        <v>0</v>
      </c>
      <c r="E810" s="82">
        <v>0</v>
      </c>
      <c r="F810" s="79" t="s">
        <v>132</v>
      </c>
    </row>
    <row r="811" spans="1:6" x14ac:dyDescent="0.2">
      <c r="A811" s="79" t="s">
        <v>1184</v>
      </c>
      <c r="B811" s="79" t="s">
        <v>19</v>
      </c>
      <c r="C811" s="82">
        <v>0</v>
      </c>
      <c r="D811" s="82">
        <v>0</v>
      </c>
      <c r="E811" s="82">
        <v>0</v>
      </c>
      <c r="F811" s="79" t="s">
        <v>132</v>
      </c>
    </row>
    <row r="812" spans="1:6" x14ac:dyDescent="0.2">
      <c r="A812" s="79" t="s">
        <v>1184</v>
      </c>
      <c r="B812" s="83" t="s">
        <v>507</v>
      </c>
      <c r="C812" s="82">
        <v>0</v>
      </c>
      <c r="D812" s="82">
        <v>0</v>
      </c>
      <c r="E812" s="82">
        <v>0</v>
      </c>
      <c r="F812" s="79" t="s">
        <v>132</v>
      </c>
    </row>
    <row r="813" spans="1:6" x14ac:dyDescent="0.2">
      <c r="A813" s="79" t="s">
        <v>1187</v>
      </c>
      <c r="B813" s="79" t="s">
        <v>1188</v>
      </c>
      <c r="C813" s="82">
        <v>0</v>
      </c>
      <c r="D813" s="82">
        <v>0</v>
      </c>
      <c r="E813" s="82">
        <v>0</v>
      </c>
      <c r="F813" s="79" t="s">
        <v>132</v>
      </c>
    </row>
    <row r="814" spans="1:6" x14ac:dyDescent="0.2">
      <c r="A814" s="79" t="s">
        <v>1187</v>
      </c>
      <c r="B814" s="79" t="s">
        <v>1189</v>
      </c>
      <c r="C814" s="82">
        <v>0</v>
      </c>
      <c r="D814" s="82">
        <v>0</v>
      </c>
      <c r="E814" s="82">
        <v>0</v>
      </c>
      <c r="F814" s="79" t="s">
        <v>132</v>
      </c>
    </row>
    <row r="815" spans="1:6" x14ac:dyDescent="0.2">
      <c r="A815" s="79" t="s">
        <v>1187</v>
      </c>
      <c r="B815" s="79" t="s">
        <v>1190</v>
      </c>
      <c r="C815" s="82">
        <v>0</v>
      </c>
      <c r="D815" s="82">
        <v>0</v>
      </c>
      <c r="E815" s="82">
        <v>0</v>
      </c>
      <c r="F815" s="79" t="s">
        <v>132</v>
      </c>
    </row>
    <row r="816" spans="1:6" x14ac:dyDescent="0.2">
      <c r="A816" s="79" t="s">
        <v>1187</v>
      </c>
      <c r="B816" s="79" t="s">
        <v>1191</v>
      </c>
      <c r="C816" s="82">
        <v>0</v>
      </c>
      <c r="D816" s="82">
        <v>0</v>
      </c>
      <c r="E816" s="82">
        <v>0</v>
      </c>
      <c r="F816" s="79" t="s">
        <v>132</v>
      </c>
    </row>
    <row r="817" spans="1:6" x14ac:dyDescent="0.2">
      <c r="A817" s="79" t="s">
        <v>1192</v>
      </c>
      <c r="B817" s="79" t="s">
        <v>1193</v>
      </c>
      <c r="C817" s="82">
        <v>0</v>
      </c>
      <c r="D817" s="82">
        <v>0</v>
      </c>
      <c r="E817" s="82">
        <v>0</v>
      </c>
      <c r="F817" s="79" t="s">
        <v>132</v>
      </c>
    </row>
    <row r="818" spans="1:6" x14ac:dyDescent="0.2">
      <c r="A818" s="79" t="s">
        <v>1192</v>
      </c>
      <c r="B818" s="83" t="s">
        <v>834</v>
      </c>
      <c r="C818" s="82">
        <v>0</v>
      </c>
      <c r="D818" s="82">
        <v>0</v>
      </c>
      <c r="E818" s="82">
        <v>0</v>
      </c>
      <c r="F818" s="79" t="s">
        <v>132</v>
      </c>
    </row>
    <row r="819" spans="1:6" x14ac:dyDescent="0.2">
      <c r="A819" s="79" t="s">
        <v>1192</v>
      </c>
      <c r="B819" s="79" t="s">
        <v>1194</v>
      </c>
      <c r="C819" s="82">
        <v>1941816.89</v>
      </c>
      <c r="D819" s="82">
        <v>1610144.03</v>
      </c>
      <c r="E819" s="82">
        <v>331672.86</v>
      </c>
      <c r="F819" s="79" t="s">
        <v>1195</v>
      </c>
    </row>
    <row r="820" spans="1:6" x14ac:dyDescent="0.2">
      <c r="A820" s="79" t="s">
        <v>1192</v>
      </c>
      <c r="B820" s="79" t="s">
        <v>132</v>
      </c>
      <c r="C820" s="82">
        <v>1941816.89</v>
      </c>
      <c r="D820" s="82">
        <v>1610144.03</v>
      </c>
      <c r="E820" s="82">
        <v>331672.86</v>
      </c>
      <c r="F820" s="79" t="s">
        <v>1195</v>
      </c>
    </row>
    <row r="821" spans="1:6" x14ac:dyDescent="0.2">
      <c r="A821" s="79" t="s">
        <v>1187</v>
      </c>
      <c r="B821" s="79" t="s">
        <v>132</v>
      </c>
      <c r="C821" s="82">
        <v>1941816.89</v>
      </c>
      <c r="D821" s="82">
        <v>1610144.03</v>
      </c>
      <c r="E821" s="82">
        <v>331672.86</v>
      </c>
      <c r="F821" s="79" t="s">
        <v>1195</v>
      </c>
    </row>
    <row r="822" spans="1:6" x14ac:dyDescent="0.2">
      <c r="A822" s="79" t="s">
        <v>1196</v>
      </c>
      <c r="B822" s="79" t="s">
        <v>1197</v>
      </c>
      <c r="C822" s="82">
        <v>438951.26</v>
      </c>
      <c r="D822" s="82">
        <v>343789.12</v>
      </c>
      <c r="E822" s="82">
        <v>95162.14</v>
      </c>
      <c r="F822" s="79" t="s">
        <v>1198</v>
      </c>
    </row>
    <row r="823" spans="1:6" x14ac:dyDescent="0.2">
      <c r="A823" s="79" t="s">
        <v>1196</v>
      </c>
      <c r="B823" s="79" t="s">
        <v>1199</v>
      </c>
      <c r="C823" s="82">
        <v>76160510.329999998</v>
      </c>
      <c r="D823" s="82">
        <v>74375496.629999995</v>
      </c>
      <c r="E823" s="82">
        <v>1785013.7</v>
      </c>
      <c r="F823" s="79" t="s">
        <v>1200</v>
      </c>
    </row>
    <row r="824" spans="1:6" x14ac:dyDescent="0.2">
      <c r="A824" s="79" t="s">
        <v>1196</v>
      </c>
      <c r="B824" s="79" t="s">
        <v>132</v>
      </c>
      <c r="C824" s="82">
        <v>76599461.590000004</v>
      </c>
      <c r="D824" s="82">
        <v>74719285.75</v>
      </c>
      <c r="E824" s="82">
        <v>1880175.84</v>
      </c>
      <c r="F824" s="79" t="s">
        <v>757</v>
      </c>
    </row>
    <row r="825" spans="1:6" x14ac:dyDescent="0.2">
      <c r="A825" s="79" t="s">
        <v>1184</v>
      </c>
      <c r="B825" s="79" t="s">
        <v>1201</v>
      </c>
      <c r="C825" s="82">
        <v>78541278.480000004</v>
      </c>
      <c r="D825" s="82">
        <v>76329429.780000001</v>
      </c>
      <c r="E825" s="82">
        <v>2211848.7000000002</v>
      </c>
      <c r="F825" s="79" t="s">
        <v>901</v>
      </c>
    </row>
    <row r="826" spans="1:6" x14ac:dyDescent="0.2">
      <c r="A826" s="79" t="s">
        <v>1184</v>
      </c>
      <c r="B826" s="83" t="s">
        <v>253</v>
      </c>
      <c r="C826" s="82">
        <v>0</v>
      </c>
      <c r="D826" s="82">
        <v>0</v>
      </c>
      <c r="E826" s="82">
        <v>0</v>
      </c>
      <c r="F826" s="79" t="s">
        <v>132</v>
      </c>
    </row>
    <row r="827" spans="1:6" x14ac:dyDescent="0.2">
      <c r="A827" s="79" t="s">
        <v>1202</v>
      </c>
      <c r="B827" s="79" t="s">
        <v>68</v>
      </c>
      <c r="C827" s="82">
        <v>0</v>
      </c>
      <c r="D827" s="82">
        <v>0</v>
      </c>
      <c r="E827" s="82">
        <v>0</v>
      </c>
      <c r="F827" s="79" t="s">
        <v>132</v>
      </c>
    </row>
    <row r="828" spans="1:6" x14ac:dyDescent="0.2">
      <c r="A828" s="79" t="s">
        <v>1202</v>
      </c>
      <c r="B828" s="83" t="s">
        <v>700</v>
      </c>
      <c r="C828" s="82">
        <v>0</v>
      </c>
      <c r="D828" s="82">
        <v>0</v>
      </c>
      <c r="E828" s="82">
        <v>0</v>
      </c>
      <c r="F828" s="79" t="s">
        <v>132</v>
      </c>
    </row>
    <row r="829" spans="1:6" x14ac:dyDescent="0.2">
      <c r="A829" s="79" t="s">
        <v>1203</v>
      </c>
      <c r="B829" s="79" t="s">
        <v>1204</v>
      </c>
      <c r="C829" s="82">
        <v>5336162.8600000003</v>
      </c>
      <c r="D829" s="82">
        <v>989373.59</v>
      </c>
      <c r="E829" s="82">
        <v>4346789.2699999996</v>
      </c>
      <c r="F829" s="79" t="s">
        <v>1205</v>
      </c>
    </row>
    <row r="830" spans="1:6" x14ac:dyDescent="0.2">
      <c r="A830" s="79" t="s">
        <v>1203</v>
      </c>
      <c r="B830" s="79" t="s">
        <v>1206</v>
      </c>
      <c r="C830" s="82">
        <v>76651.740000000005</v>
      </c>
      <c r="D830" s="82">
        <v>11123.18</v>
      </c>
      <c r="E830" s="82">
        <v>65528.56</v>
      </c>
      <c r="F830" s="79" t="s">
        <v>1207</v>
      </c>
    </row>
    <row r="831" spans="1:6" x14ac:dyDescent="0.2">
      <c r="A831" s="79" t="s">
        <v>1203</v>
      </c>
      <c r="B831" s="79" t="s">
        <v>1208</v>
      </c>
      <c r="C831" s="82">
        <v>38792</v>
      </c>
      <c r="D831" s="82">
        <v>1023</v>
      </c>
      <c r="E831" s="82">
        <v>37769</v>
      </c>
      <c r="F831" s="79" t="s">
        <v>1209</v>
      </c>
    </row>
    <row r="832" spans="1:6" x14ac:dyDescent="0.2">
      <c r="A832" s="79" t="s">
        <v>1203</v>
      </c>
      <c r="B832" s="79" t="s">
        <v>1210</v>
      </c>
      <c r="C832" s="82">
        <v>218658.63</v>
      </c>
      <c r="D832" s="82">
        <v>272023.11</v>
      </c>
      <c r="E832" s="82">
        <v>-53364.480000000003</v>
      </c>
      <c r="F832" s="79" t="s">
        <v>778</v>
      </c>
    </row>
    <row r="833" spans="1:6" x14ac:dyDescent="0.2">
      <c r="A833" s="79" t="s">
        <v>1203</v>
      </c>
      <c r="B833" s="79" t="s">
        <v>1211</v>
      </c>
      <c r="C833" s="82">
        <v>0</v>
      </c>
      <c r="D833" s="82">
        <v>1806000</v>
      </c>
      <c r="E833" s="82">
        <v>-1806000</v>
      </c>
      <c r="F833" s="79" t="s">
        <v>297</v>
      </c>
    </row>
    <row r="834" spans="1:6" x14ac:dyDescent="0.2">
      <c r="A834" s="79" t="s">
        <v>1203</v>
      </c>
      <c r="B834" s="79" t="s">
        <v>1212</v>
      </c>
      <c r="C834" s="82">
        <v>63.44</v>
      </c>
      <c r="D834" s="82">
        <v>0</v>
      </c>
      <c r="E834" s="82">
        <v>63.44</v>
      </c>
      <c r="F834" s="79" t="s">
        <v>132</v>
      </c>
    </row>
    <row r="835" spans="1:6" x14ac:dyDescent="0.2">
      <c r="A835" s="79" t="s">
        <v>1203</v>
      </c>
      <c r="B835" s="79" t="s">
        <v>1213</v>
      </c>
      <c r="C835" s="82">
        <v>127472.4</v>
      </c>
      <c r="D835" s="82">
        <v>108611.94</v>
      </c>
      <c r="E835" s="82">
        <v>18860.46</v>
      </c>
      <c r="F835" s="79" t="s">
        <v>1126</v>
      </c>
    </row>
    <row r="836" spans="1:6" x14ac:dyDescent="0.2">
      <c r="A836" s="79" t="s">
        <v>1203</v>
      </c>
      <c r="B836" s="79" t="s">
        <v>1214</v>
      </c>
      <c r="C836" s="82">
        <v>23240.61</v>
      </c>
      <c r="D836" s="82">
        <v>13682.93</v>
      </c>
      <c r="E836" s="82">
        <v>9557.68</v>
      </c>
      <c r="F836" s="79" t="s">
        <v>1215</v>
      </c>
    </row>
    <row r="837" spans="1:6" x14ac:dyDescent="0.2">
      <c r="A837" s="79" t="s">
        <v>1203</v>
      </c>
      <c r="B837" s="79" t="s">
        <v>1216</v>
      </c>
      <c r="C837" s="82">
        <v>146955.48000000001</v>
      </c>
      <c r="D837" s="82">
        <v>1164.1400000000001</v>
      </c>
      <c r="E837" s="82">
        <v>145791.34</v>
      </c>
      <c r="F837" s="79" t="s">
        <v>1217</v>
      </c>
    </row>
    <row r="838" spans="1:6" x14ac:dyDescent="0.2">
      <c r="A838" s="79" t="s">
        <v>1203</v>
      </c>
      <c r="B838" s="79" t="s">
        <v>132</v>
      </c>
      <c r="C838" s="82">
        <v>5967997.1600000001</v>
      </c>
      <c r="D838" s="82">
        <v>3203001.89</v>
      </c>
      <c r="E838" s="82">
        <v>2764995.27</v>
      </c>
      <c r="F838" s="79" t="s">
        <v>1218</v>
      </c>
    </row>
    <row r="839" spans="1:6" x14ac:dyDescent="0.2">
      <c r="A839" s="79" t="s">
        <v>1219</v>
      </c>
      <c r="B839" s="79" t="s">
        <v>132</v>
      </c>
      <c r="C839" s="82">
        <v>5967997.1600000001</v>
      </c>
      <c r="D839" s="82">
        <v>3203001.89</v>
      </c>
      <c r="E839" s="82">
        <v>2764995.27</v>
      </c>
      <c r="F839" s="79" t="s">
        <v>1218</v>
      </c>
    </row>
    <row r="840" spans="1:6" x14ac:dyDescent="0.2">
      <c r="A840" s="79" t="s">
        <v>1220</v>
      </c>
      <c r="B840" s="79" t="s">
        <v>1221</v>
      </c>
      <c r="C840" s="82">
        <v>997480.49</v>
      </c>
      <c r="D840" s="82">
        <v>686411.93</v>
      </c>
      <c r="E840" s="82">
        <v>311068.56</v>
      </c>
      <c r="F840" s="79" t="s">
        <v>1222</v>
      </c>
    </row>
    <row r="841" spans="1:6" x14ac:dyDescent="0.2">
      <c r="A841" s="79" t="s">
        <v>1220</v>
      </c>
      <c r="B841" s="79" t="s">
        <v>1223</v>
      </c>
      <c r="C841" s="82">
        <v>1145306.3999999999</v>
      </c>
      <c r="D841" s="82">
        <v>487071.63</v>
      </c>
      <c r="E841" s="82">
        <v>658234.77</v>
      </c>
      <c r="F841" s="79" t="s">
        <v>1224</v>
      </c>
    </row>
    <row r="842" spans="1:6" x14ac:dyDescent="0.2">
      <c r="A842" s="79" t="s">
        <v>1220</v>
      </c>
      <c r="B842" s="79" t="s">
        <v>1225</v>
      </c>
      <c r="C842" s="82">
        <v>3425.02</v>
      </c>
      <c r="D842" s="82">
        <v>1921.91</v>
      </c>
      <c r="E842" s="82">
        <v>1503.11</v>
      </c>
      <c r="F842" s="79" t="s">
        <v>373</v>
      </c>
    </row>
    <row r="843" spans="1:6" x14ac:dyDescent="0.2">
      <c r="A843" s="79" t="s">
        <v>1220</v>
      </c>
      <c r="B843" s="79" t="s">
        <v>1226</v>
      </c>
      <c r="C843" s="82">
        <v>312257</v>
      </c>
      <c r="D843" s="82">
        <v>241590.78</v>
      </c>
      <c r="E843" s="82">
        <v>70666.22</v>
      </c>
      <c r="F843" s="79" t="s">
        <v>1227</v>
      </c>
    </row>
    <row r="844" spans="1:6" x14ac:dyDescent="0.2">
      <c r="A844" s="79" t="s">
        <v>1220</v>
      </c>
      <c r="B844" s="79" t="s">
        <v>1228</v>
      </c>
      <c r="C844" s="82">
        <v>1161.05</v>
      </c>
      <c r="D844" s="82">
        <v>1278.22</v>
      </c>
      <c r="E844" s="82">
        <v>-117.17</v>
      </c>
      <c r="F844" s="79" t="s">
        <v>1229</v>
      </c>
    </row>
    <row r="845" spans="1:6" x14ac:dyDescent="0.2">
      <c r="A845" s="79" t="s">
        <v>1220</v>
      </c>
      <c r="B845" s="79" t="s">
        <v>1230</v>
      </c>
      <c r="C845" s="82">
        <v>13913.16</v>
      </c>
      <c r="D845" s="82">
        <v>21250.03</v>
      </c>
      <c r="E845" s="82">
        <v>-7336.87</v>
      </c>
      <c r="F845" s="79" t="s">
        <v>1231</v>
      </c>
    </row>
    <row r="846" spans="1:6" x14ac:dyDescent="0.2">
      <c r="A846" s="79" t="s">
        <v>1220</v>
      </c>
      <c r="B846" s="79" t="s">
        <v>1232</v>
      </c>
      <c r="C846" s="82">
        <v>1563913.62</v>
      </c>
      <c r="D846" s="82">
        <v>1230905.45</v>
      </c>
      <c r="E846" s="82">
        <v>333008.17</v>
      </c>
      <c r="F846" s="79" t="s">
        <v>1233</v>
      </c>
    </row>
    <row r="847" spans="1:6" x14ac:dyDescent="0.2">
      <c r="A847" s="79" t="s">
        <v>1220</v>
      </c>
      <c r="B847" s="79" t="s">
        <v>132</v>
      </c>
      <c r="C847" s="82">
        <v>4037456.74</v>
      </c>
      <c r="D847" s="82">
        <v>2670429.9500000002</v>
      </c>
      <c r="E847" s="82">
        <v>1367026.79</v>
      </c>
      <c r="F847" s="79" t="s">
        <v>1234</v>
      </c>
    </row>
    <row r="848" spans="1:6" x14ac:dyDescent="0.2">
      <c r="A848" s="79" t="s">
        <v>1235</v>
      </c>
      <c r="B848" s="79" t="s">
        <v>1236</v>
      </c>
      <c r="C848" s="82">
        <v>3448607.7</v>
      </c>
      <c r="D848" s="82">
        <v>2850193.81</v>
      </c>
      <c r="E848" s="82">
        <v>598413.89</v>
      </c>
      <c r="F848" s="79" t="s">
        <v>1237</v>
      </c>
    </row>
    <row r="849" spans="1:6" x14ac:dyDescent="0.2">
      <c r="A849" s="79" t="s">
        <v>1235</v>
      </c>
      <c r="B849" s="79" t="s">
        <v>1238</v>
      </c>
      <c r="C849" s="82">
        <v>68507.22</v>
      </c>
      <c r="D849" s="82">
        <v>19031.240000000002</v>
      </c>
      <c r="E849" s="82">
        <v>49475.98</v>
      </c>
      <c r="F849" s="79" t="s">
        <v>1239</v>
      </c>
    </row>
    <row r="850" spans="1:6" x14ac:dyDescent="0.2">
      <c r="A850" s="79" t="s">
        <v>1235</v>
      </c>
      <c r="B850" s="79" t="s">
        <v>1240</v>
      </c>
      <c r="C850" s="82">
        <v>228.36</v>
      </c>
      <c r="D850" s="82">
        <v>182.24</v>
      </c>
      <c r="E850" s="82">
        <v>46.12</v>
      </c>
      <c r="F850" s="79" t="s">
        <v>1241</v>
      </c>
    </row>
    <row r="851" spans="1:6" x14ac:dyDescent="0.2">
      <c r="A851" s="79" t="s">
        <v>1235</v>
      </c>
      <c r="B851" s="79" t="s">
        <v>1242</v>
      </c>
      <c r="C851" s="82">
        <v>16577.599999999999</v>
      </c>
      <c r="D851" s="82">
        <v>39585.440000000002</v>
      </c>
      <c r="E851" s="82">
        <v>-23007.84</v>
      </c>
      <c r="F851" s="79" t="s">
        <v>1243</v>
      </c>
    </row>
    <row r="852" spans="1:6" x14ac:dyDescent="0.2">
      <c r="A852" s="79" t="s">
        <v>1235</v>
      </c>
      <c r="B852" s="79" t="s">
        <v>1244</v>
      </c>
      <c r="C852" s="82">
        <v>180623.21</v>
      </c>
      <c r="D852" s="82">
        <v>105875.76</v>
      </c>
      <c r="E852" s="82">
        <v>74747.45</v>
      </c>
      <c r="F852" s="79" t="s">
        <v>1245</v>
      </c>
    </row>
    <row r="853" spans="1:6" x14ac:dyDescent="0.2">
      <c r="A853" s="79" t="s">
        <v>1235</v>
      </c>
      <c r="B853" s="79" t="s">
        <v>1246</v>
      </c>
      <c r="C853" s="82">
        <v>43075.35</v>
      </c>
      <c r="D853" s="82">
        <v>26064.81</v>
      </c>
      <c r="E853" s="82">
        <v>17010.54</v>
      </c>
      <c r="F853" s="79" t="s">
        <v>1247</v>
      </c>
    </row>
    <row r="854" spans="1:6" x14ac:dyDescent="0.2">
      <c r="A854" s="79" t="s">
        <v>1235</v>
      </c>
      <c r="B854" s="79" t="s">
        <v>132</v>
      </c>
      <c r="C854" s="82">
        <v>3757619.44</v>
      </c>
      <c r="D854" s="82">
        <v>3040933.3</v>
      </c>
      <c r="E854" s="82">
        <v>716686.14</v>
      </c>
      <c r="F854" s="79" t="s">
        <v>1248</v>
      </c>
    </row>
    <row r="855" spans="1:6" x14ac:dyDescent="0.2">
      <c r="A855" s="79" t="s">
        <v>1249</v>
      </c>
      <c r="B855" s="79" t="s">
        <v>1250</v>
      </c>
      <c r="C855" s="82">
        <v>4560570.54</v>
      </c>
      <c r="D855" s="82">
        <v>5075146.5199999996</v>
      </c>
      <c r="E855" s="82">
        <v>-514575.98</v>
      </c>
      <c r="F855" s="79" t="s">
        <v>807</v>
      </c>
    </row>
    <row r="856" spans="1:6" x14ac:dyDescent="0.2">
      <c r="A856" s="79" t="s">
        <v>1249</v>
      </c>
      <c r="B856" s="79" t="s">
        <v>1251</v>
      </c>
      <c r="C856" s="82">
        <v>359369.3</v>
      </c>
      <c r="D856" s="82">
        <v>351122.99</v>
      </c>
      <c r="E856" s="82">
        <v>8246.31</v>
      </c>
      <c r="F856" s="79" t="s">
        <v>842</v>
      </c>
    </row>
    <row r="857" spans="1:6" x14ac:dyDescent="0.2">
      <c r="A857" s="79" t="s">
        <v>1249</v>
      </c>
      <c r="B857" s="79" t="s">
        <v>1252</v>
      </c>
      <c r="C857" s="82">
        <v>429934.78</v>
      </c>
      <c r="D857" s="82">
        <v>443950.31</v>
      </c>
      <c r="E857" s="82">
        <v>-14015.53</v>
      </c>
      <c r="F857" s="79" t="s">
        <v>919</v>
      </c>
    </row>
    <row r="858" spans="1:6" x14ac:dyDescent="0.2">
      <c r="A858" s="79" t="s">
        <v>1249</v>
      </c>
      <c r="B858" s="79" t="s">
        <v>132</v>
      </c>
      <c r="C858" s="82">
        <v>5349874.62</v>
      </c>
      <c r="D858" s="82">
        <v>5870219.8200000003</v>
      </c>
      <c r="E858" s="82">
        <v>-520345.2</v>
      </c>
      <c r="F858" s="79" t="s">
        <v>949</v>
      </c>
    </row>
    <row r="859" spans="1:6" x14ac:dyDescent="0.2">
      <c r="A859" s="79" t="s">
        <v>1253</v>
      </c>
      <c r="B859" s="79" t="s">
        <v>1254</v>
      </c>
      <c r="C859" s="82">
        <v>7747</v>
      </c>
      <c r="D859" s="82">
        <v>10160</v>
      </c>
      <c r="E859" s="82">
        <v>-2413</v>
      </c>
      <c r="F859" s="79" t="s">
        <v>1255</v>
      </c>
    </row>
    <row r="860" spans="1:6" x14ac:dyDescent="0.2">
      <c r="A860" s="79" t="s">
        <v>1253</v>
      </c>
      <c r="B860" s="79" t="s">
        <v>1256</v>
      </c>
      <c r="C860" s="82">
        <v>33394.81</v>
      </c>
      <c r="D860" s="82">
        <v>38433.769999999997</v>
      </c>
      <c r="E860" s="82">
        <v>-5038.96</v>
      </c>
      <c r="F860" s="79" t="s">
        <v>1257</v>
      </c>
    </row>
    <row r="861" spans="1:6" x14ac:dyDescent="0.2">
      <c r="A861" s="79" t="s">
        <v>1253</v>
      </c>
      <c r="B861" s="79" t="s">
        <v>1258</v>
      </c>
      <c r="C861" s="82">
        <v>4445</v>
      </c>
      <c r="D861" s="82">
        <v>7747</v>
      </c>
      <c r="E861" s="82">
        <v>-3302</v>
      </c>
      <c r="F861" s="79" t="s">
        <v>1259</v>
      </c>
    </row>
    <row r="862" spans="1:6" x14ac:dyDescent="0.2">
      <c r="A862" s="79" t="s">
        <v>1253</v>
      </c>
      <c r="B862" s="79" t="s">
        <v>132</v>
      </c>
      <c r="C862" s="82">
        <v>45586.81</v>
      </c>
      <c r="D862" s="82">
        <v>56340.77</v>
      </c>
      <c r="E862" s="82">
        <v>-10753.96</v>
      </c>
      <c r="F862" s="79" t="s">
        <v>619</v>
      </c>
    </row>
    <row r="863" spans="1:6" x14ac:dyDescent="0.2">
      <c r="A863" s="79" t="s">
        <v>1260</v>
      </c>
      <c r="B863" s="79" t="s">
        <v>1261</v>
      </c>
      <c r="C863" s="82">
        <v>158598.54</v>
      </c>
      <c r="D863" s="82">
        <v>167182.35</v>
      </c>
      <c r="E863" s="82">
        <v>-8583.81</v>
      </c>
      <c r="F863" s="79" t="s">
        <v>798</v>
      </c>
    </row>
    <row r="864" spans="1:6" x14ac:dyDescent="0.2">
      <c r="A864" s="79" t="s">
        <v>1260</v>
      </c>
      <c r="B864" s="79" t="s">
        <v>1262</v>
      </c>
      <c r="C864" s="82">
        <v>20420.04</v>
      </c>
      <c r="D864" s="82">
        <v>29285.279999999999</v>
      </c>
      <c r="E864" s="82">
        <v>-8865.24</v>
      </c>
      <c r="F864" s="79" t="s">
        <v>1263</v>
      </c>
    </row>
    <row r="865" spans="1:6" x14ac:dyDescent="0.2">
      <c r="A865" s="79" t="s">
        <v>1260</v>
      </c>
      <c r="B865" s="79" t="s">
        <v>1264</v>
      </c>
      <c r="C865" s="82">
        <v>41290.99</v>
      </c>
      <c r="D865" s="82">
        <v>36076.53</v>
      </c>
      <c r="E865" s="82">
        <v>5214.46</v>
      </c>
      <c r="F865" s="79" t="s">
        <v>1265</v>
      </c>
    </row>
    <row r="866" spans="1:6" x14ac:dyDescent="0.2">
      <c r="A866" s="79" t="s">
        <v>1260</v>
      </c>
      <c r="B866" s="79" t="s">
        <v>1266</v>
      </c>
      <c r="C866" s="82">
        <v>10743.75</v>
      </c>
      <c r="D866" s="82">
        <v>10928.7</v>
      </c>
      <c r="E866" s="82">
        <v>-184.95</v>
      </c>
      <c r="F866" s="79" t="s">
        <v>514</v>
      </c>
    </row>
    <row r="867" spans="1:6" x14ac:dyDescent="0.2">
      <c r="A867" s="79" t="s">
        <v>1260</v>
      </c>
      <c r="B867" s="79" t="s">
        <v>1267</v>
      </c>
      <c r="C867" s="82">
        <v>46.5</v>
      </c>
      <c r="D867" s="82">
        <v>67.349999999999994</v>
      </c>
      <c r="E867" s="82">
        <v>-20.85</v>
      </c>
      <c r="F867" s="79" t="s">
        <v>329</v>
      </c>
    </row>
    <row r="868" spans="1:6" x14ac:dyDescent="0.2">
      <c r="A868" s="79" t="s">
        <v>1260</v>
      </c>
      <c r="B868" s="79" t="s">
        <v>1268</v>
      </c>
      <c r="C868" s="82">
        <v>591969.84</v>
      </c>
      <c r="D868" s="82">
        <v>603245.07999999996</v>
      </c>
      <c r="E868" s="82">
        <v>-11275.24</v>
      </c>
      <c r="F868" s="79" t="s">
        <v>1269</v>
      </c>
    </row>
    <row r="869" spans="1:6" x14ac:dyDescent="0.2">
      <c r="A869" s="79" t="s">
        <v>1260</v>
      </c>
      <c r="B869" s="79" t="s">
        <v>1270</v>
      </c>
      <c r="C869" s="82">
        <v>2209523.25</v>
      </c>
      <c r="D869" s="82">
        <v>567353.5</v>
      </c>
      <c r="E869" s="82">
        <v>1642169.75</v>
      </c>
      <c r="F869" s="79" t="s">
        <v>1271</v>
      </c>
    </row>
    <row r="870" spans="1:6" x14ac:dyDescent="0.2">
      <c r="A870" s="79" t="s">
        <v>1260</v>
      </c>
      <c r="B870" s="79" t="s">
        <v>1272</v>
      </c>
      <c r="C870" s="82">
        <v>876670.53</v>
      </c>
      <c r="D870" s="82">
        <v>1009981.25</v>
      </c>
      <c r="E870" s="82">
        <v>-133310.72</v>
      </c>
      <c r="F870" s="79" t="s">
        <v>1273</v>
      </c>
    </row>
    <row r="871" spans="1:6" x14ac:dyDescent="0.2">
      <c r="A871" s="79" t="s">
        <v>1260</v>
      </c>
      <c r="B871" s="79" t="s">
        <v>1274</v>
      </c>
      <c r="C871" s="82">
        <v>125661.9</v>
      </c>
      <c r="D871" s="82">
        <v>167862.69</v>
      </c>
      <c r="E871" s="82">
        <v>-42200.79</v>
      </c>
      <c r="F871" s="79" t="s">
        <v>1275</v>
      </c>
    </row>
    <row r="872" spans="1:6" x14ac:dyDescent="0.2">
      <c r="A872" s="79" t="s">
        <v>1260</v>
      </c>
      <c r="B872" s="79" t="s">
        <v>1276</v>
      </c>
      <c r="C872" s="82">
        <v>49428.3</v>
      </c>
      <c r="D872" s="82">
        <v>28941.01</v>
      </c>
      <c r="E872" s="82">
        <v>20487.29</v>
      </c>
      <c r="F872" s="79" t="s">
        <v>1277</v>
      </c>
    </row>
    <row r="873" spans="1:6" x14ac:dyDescent="0.2">
      <c r="A873" s="79" t="s">
        <v>1260</v>
      </c>
      <c r="B873" s="79" t="s">
        <v>1278</v>
      </c>
      <c r="C873" s="82">
        <v>576214.79</v>
      </c>
      <c r="D873" s="82">
        <v>683206.87</v>
      </c>
      <c r="E873" s="82">
        <v>-106992.08</v>
      </c>
      <c r="F873" s="79" t="s">
        <v>1279</v>
      </c>
    </row>
    <row r="874" spans="1:6" x14ac:dyDescent="0.2">
      <c r="A874" s="79" t="s">
        <v>1260</v>
      </c>
      <c r="B874" s="79" t="s">
        <v>1280</v>
      </c>
      <c r="C874" s="82">
        <v>5445</v>
      </c>
      <c r="D874" s="82">
        <v>2504</v>
      </c>
      <c r="E874" s="82">
        <v>2941</v>
      </c>
      <c r="F874" s="79" t="s">
        <v>1281</v>
      </c>
    </row>
    <row r="875" spans="1:6" x14ac:dyDescent="0.2">
      <c r="A875" s="79" t="s">
        <v>1260</v>
      </c>
      <c r="B875" s="79" t="s">
        <v>1282</v>
      </c>
      <c r="C875" s="82">
        <v>-85063.44</v>
      </c>
      <c r="D875" s="82">
        <v>-83773.03</v>
      </c>
      <c r="E875" s="82">
        <v>-1290.4100000000001</v>
      </c>
      <c r="F875" s="79" t="s">
        <v>790</v>
      </c>
    </row>
    <row r="876" spans="1:6" x14ac:dyDescent="0.2">
      <c r="A876" s="79" t="s">
        <v>1260</v>
      </c>
      <c r="B876" s="79" t="s">
        <v>1283</v>
      </c>
      <c r="C876" s="82">
        <v>-1856742.02</v>
      </c>
      <c r="D876" s="82">
        <v>-476767.65</v>
      </c>
      <c r="E876" s="82">
        <v>-1379974.37</v>
      </c>
      <c r="F876" s="79" t="s">
        <v>1284</v>
      </c>
    </row>
    <row r="877" spans="1:6" x14ac:dyDescent="0.2">
      <c r="A877" s="79" t="s">
        <v>1260</v>
      </c>
      <c r="B877" s="79" t="s">
        <v>132</v>
      </c>
      <c r="C877" s="82">
        <v>2724207.97</v>
      </c>
      <c r="D877" s="82">
        <v>2746093.93</v>
      </c>
      <c r="E877" s="82">
        <v>-21885.96</v>
      </c>
      <c r="F877" s="79" t="s">
        <v>279</v>
      </c>
    </row>
    <row r="878" spans="1:6" x14ac:dyDescent="0.2">
      <c r="A878" s="79" t="s">
        <v>1285</v>
      </c>
      <c r="B878" s="79" t="s">
        <v>1286</v>
      </c>
      <c r="C878" s="82">
        <v>113261.8</v>
      </c>
      <c r="D878" s="82">
        <v>101074</v>
      </c>
      <c r="E878" s="82">
        <v>12187.8</v>
      </c>
      <c r="F878" s="79" t="s">
        <v>1287</v>
      </c>
    </row>
    <row r="879" spans="1:6" x14ac:dyDescent="0.2">
      <c r="A879" s="79" t="s">
        <v>1285</v>
      </c>
      <c r="B879" s="79" t="s">
        <v>1288</v>
      </c>
      <c r="C879" s="82">
        <v>2.5099999999999998</v>
      </c>
      <c r="D879" s="82">
        <v>710.19</v>
      </c>
      <c r="E879" s="82">
        <v>-707.68</v>
      </c>
      <c r="F879" s="79" t="s">
        <v>1289</v>
      </c>
    </row>
    <row r="880" spans="1:6" x14ac:dyDescent="0.2">
      <c r="A880" s="79" t="s">
        <v>1285</v>
      </c>
      <c r="B880" s="79" t="s">
        <v>1290</v>
      </c>
      <c r="C880" s="82">
        <v>2961776.21</v>
      </c>
      <c r="D880" s="82">
        <v>2622493.27</v>
      </c>
      <c r="E880" s="82">
        <v>339282.94</v>
      </c>
      <c r="F880" s="79" t="s">
        <v>1291</v>
      </c>
    </row>
    <row r="881" spans="1:6" x14ac:dyDescent="0.2">
      <c r="A881" s="79" t="s">
        <v>1285</v>
      </c>
      <c r="B881" s="79" t="s">
        <v>1292</v>
      </c>
      <c r="C881" s="82">
        <v>25283.88</v>
      </c>
      <c r="D881" s="82">
        <v>11120</v>
      </c>
      <c r="E881" s="82">
        <v>14163.88</v>
      </c>
      <c r="F881" s="79" t="s">
        <v>1293</v>
      </c>
    </row>
    <row r="882" spans="1:6" x14ac:dyDescent="0.2">
      <c r="A882" s="79" t="s">
        <v>1285</v>
      </c>
      <c r="B882" s="79" t="s">
        <v>1294</v>
      </c>
      <c r="C882" s="82">
        <v>25812.17</v>
      </c>
      <c r="D882" s="82">
        <v>31367.1</v>
      </c>
      <c r="E882" s="82">
        <v>-5554.93</v>
      </c>
      <c r="F882" s="79" t="s">
        <v>1295</v>
      </c>
    </row>
    <row r="883" spans="1:6" x14ac:dyDescent="0.2">
      <c r="A883" s="79" t="s">
        <v>1285</v>
      </c>
      <c r="B883" s="79" t="s">
        <v>1296</v>
      </c>
      <c r="C883" s="82">
        <v>144.59</v>
      </c>
      <c r="D883" s="82">
        <v>0</v>
      </c>
      <c r="E883" s="82">
        <v>144.59</v>
      </c>
      <c r="F883" s="79" t="s">
        <v>132</v>
      </c>
    </row>
    <row r="884" spans="1:6" x14ac:dyDescent="0.2">
      <c r="A884" s="79" t="s">
        <v>1285</v>
      </c>
      <c r="B884" s="79" t="s">
        <v>1297</v>
      </c>
      <c r="C884" s="82">
        <v>3814020.41</v>
      </c>
      <c r="D884" s="82">
        <v>3865048.96</v>
      </c>
      <c r="E884" s="82">
        <v>-51028.55</v>
      </c>
      <c r="F884" s="79" t="s">
        <v>447</v>
      </c>
    </row>
    <row r="885" spans="1:6" x14ac:dyDescent="0.2">
      <c r="A885" s="79" t="s">
        <v>1285</v>
      </c>
      <c r="B885" s="79" t="s">
        <v>1298</v>
      </c>
      <c r="C885" s="82">
        <v>3388548.62</v>
      </c>
      <c r="D885" s="82">
        <v>3514677</v>
      </c>
      <c r="E885" s="82">
        <v>-126128.38</v>
      </c>
      <c r="F885" s="79" t="s">
        <v>840</v>
      </c>
    </row>
    <row r="886" spans="1:6" x14ac:dyDescent="0.2">
      <c r="A886" s="79" t="s">
        <v>1285</v>
      </c>
      <c r="B886" s="79" t="s">
        <v>1299</v>
      </c>
      <c r="C886" s="82">
        <v>6990612.6900000004</v>
      </c>
      <c r="D886" s="82">
        <v>6857627.7199999997</v>
      </c>
      <c r="E886" s="82">
        <v>132984.97</v>
      </c>
      <c r="F886" s="79" t="s">
        <v>198</v>
      </c>
    </row>
    <row r="887" spans="1:6" x14ac:dyDescent="0.2">
      <c r="A887" s="79" t="s">
        <v>1285</v>
      </c>
      <c r="B887" s="79" t="s">
        <v>1300</v>
      </c>
      <c r="C887" s="82">
        <v>3398969.55</v>
      </c>
      <c r="D887" s="82">
        <v>2950846.94</v>
      </c>
      <c r="E887" s="82">
        <v>448122.61</v>
      </c>
      <c r="F887" s="79" t="s">
        <v>1301</v>
      </c>
    </row>
    <row r="888" spans="1:6" x14ac:dyDescent="0.2">
      <c r="A888" s="79" t="s">
        <v>1285</v>
      </c>
      <c r="B888" s="79" t="s">
        <v>1302</v>
      </c>
      <c r="C888" s="82">
        <v>1074149.76</v>
      </c>
      <c r="D888" s="82">
        <v>1097511.25</v>
      </c>
      <c r="E888" s="82">
        <v>-23361.49</v>
      </c>
      <c r="F888" s="79" t="s">
        <v>1303</v>
      </c>
    </row>
    <row r="889" spans="1:6" x14ac:dyDescent="0.2">
      <c r="A889" s="79" t="s">
        <v>1285</v>
      </c>
      <c r="B889" s="79" t="s">
        <v>1304</v>
      </c>
      <c r="C889" s="82">
        <v>939839.48</v>
      </c>
      <c r="D889" s="82">
        <v>965335.62</v>
      </c>
      <c r="E889" s="82">
        <v>-25496.14</v>
      </c>
      <c r="F889" s="79" t="s">
        <v>1305</v>
      </c>
    </row>
    <row r="890" spans="1:6" x14ac:dyDescent="0.2">
      <c r="A890" s="79" t="s">
        <v>1285</v>
      </c>
      <c r="B890" s="79" t="s">
        <v>1306</v>
      </c>
      <c r="C890" s="82">
        <v>2787090.91</v>
      </c>
      <c r="D890" s="82">
        <v>3764565.88</v>
      </c>
      <c r="E890" s="82">
        <v>-977474.97</v>
      </c>
      <c r="F890" s="79" t="s">
        <v>1307</v>
      </c>
    </row>
    <row r="891" spans="1:6" x14ac:dyDescent="0.2">
      <c r="A891" s="79" t="s">
        <v>1285</v>
      </c>
      <c r="B891" s="79" t="s">
        <v>1308</v>
      </c>
      <c r="C891" s="82">
        <v>483903.23</v>
      </c>
      <c r="D891" s="82">
        <v>550306.6</v>
      </c>
      <c r="E891" s="82">
        <v>-66403.37</v>
      </c>
      <c r="F891" s="79" t="s">
        <v>1309</v>
      </c>
    </row>
    <row r="892" spans="1:6" x14ac:dyDescent="0.2">
      <c r="A892" s="79" t="s">
        <v>1285</v>
      </c>
      <c r="B892" s="79" t="s">
        <v>132</v>
      </c>
      <c r="C892" s="82">
        <v>26003415.809999999</v>
      </c>
      <c r="D892" s="82">
        <v>26332684.530000001</v>
      </c>
      <c r="E892" s="82">
        <v>-329268.71999999997</v>
      </c>
      <c r="F892" s="79" t="s">
        <v>447</v>
      </c>
    </row>
    <row r="893" spans="1:6" x14ac:dyDescent="0.2">
      <c r="A893" s="79" t="s">
        <v>1310</v>
      </c>
      <c r="B893" s="79" t="s">
        <v>1311</v>
      </c>
      <c r="C893" s="82">
        <v>13500</v>
      </c>
      <c r="D893" s="82">
        <v>231000</v>
      </c>
      <c r="E893" s="82">
        <v>-217500</v>
      </c>
      <c r="F893" s="79" t="s">
        <v>1312</v>
      </c>
    </row>
    <row r="894" spans="1:6" x14ac:dyDescent="0.2">
      <c r="A894" s="79" t="s">
        <v>1310</v>
      </c>
      <c r="B894" s="79" t="s">
        <v>1313</v>
      </c>
      <c r="C894" s="82">
        <v>403410</v>
      </c>
      <c r="D894" s="82">
        <v>417690</v>
      </c>
      <c r="E894" s="82">
        <v>-14280</v>
      </c>
      <c r="F894" s="79" t="s">
        <v>1314</v>
      </c>
    </row>
    <row r="895" spans="1:6" x14ac:dyDescent="0.2">
      <c r="A895" s="79" t="s">
        <v>1310</v>
      </c>
      <c r="B895" s="79" t="s">
        <v>1315</v>
      </c>
      <c r="C895" s="82">
        <v>245199.66</v>
      </c>
      <c r="D895" s="82">
        <v>212351.1</v>
      </c>
      <c r="E895" s="82">
        <v>32848.559999999998</v>
      </c>
      <c r="F895" s="79" t="s">
        <v>1316</v>
      </c>
    </row>
    <row r="896" spans="1:6" x14ac:dyDescent="0.2">
      <c r="A896" s="79" t="s">
        <v>1310</v>
      </c>
      <c r="B896" s="79" t="s">
        <v>1317</v>
      </c>
      <c r="C896" s="82">
        <v>2583014.1</v>
      </c>
      <c r="D896" s="82">
        <v>2549176.87</v>
      </c>
      <c r="E896" s="82">
        <v>33837.230000000003</v>
      </c>
      <c r="F896" s="79" t="s">
        <v>730</v>
      </c>
    </row>
    <row r="897" spans="1:6" x14ac:dyDescent="0.2">
      <c r="A897" s="79" t="s">
        <v>1310</v>
      </c>
      <c r="B897" s="79" t="s">
        <v>1318</v>
      </c>
      <c r="C897" s="82">
        <v>186975.07</v>
      </c>
      <c r="D897" s="82">
        <v>154288.4</v>
      </c>
      <c r="E897" s="82">
        <v>32686.67</v>
      </c>
      <c r="F897" s="79" t="s">
        <v>1319</v>
      </c>
    </row>
    <row r="898" spans="1:6" x14ac:dyDescent="0.2">
      <c r="A898" s="79" t="s">
        <v>1310</v>
      </c>
      <c r="B898" s="79" t="s">
        <v>1320</v>
      </c>
      <c r="C898" s="82">
        <v>929793.98</v>
      </c>
      <c r="D898" s="82">
        <v>714400.35</v>
      </c>
      <c r="E898" s="82">
        <v>215393.63</v>
      </c>
      <c r="F898" s="79" t="s">
        <v>1321</v>
      </c>
    </row>
    <row r="899" spans="1:6" x14ac:dyDescent="0.2">
      <c r="A899" s="79" t="s">
        <v>1310</v>
      </c>
      <c r="B899" s="79" t="s">
        <v>1322</v>
      </c>
      <c r="C899" s="82">
        <v>46144.37</v>
      </c>
      <c r="D899" s="82">
        <v>45794.2</v>
      </c>
      <c r="E899" s="82">
        <v>350.17</v>
      </c>
      <c r="F899" s="79" t="s">
        <v>1323</v>
      </c>
    </row>
    <row r="900" spans="1:6" x14ac:dyDescent="0.2">
      <c r="A900" s="79" t="s">
        <v>1310</v>
      </c>
      <c r="B900" s="79" t="s">
        <v>132</v>
      </c>
      <c r="C900" s="82">
        <v>4408037.18</v>
      </c>
      <c r="D900" s="82">
        <v>4324700.92</v>
      </c>
      <c r="E900" s="82">
        <v>83336.259999999995</v>
      </c>
      <c r="F900" s="79" t="s">
        <v>198</v>
      </c>
    </row>
    <row r="901" spans="1:6" x14ac:dyDescent="0.2">
      <c r="A901" s="79" t="s">
        <v>1324</v>
      </c>
      <c r="B901" s="79" t="s">
        <v>1325</v>
      </c>
      <c r="C901" s="82">
        <v>74502.039999999994</v>
      </c>
      <c r="D901" s="82">
        <v>77652.87</v>
      </c>
      <c r="E901" s="82">
        <v>-3150.83</v>
      </c>
      <c r="F901" s="79" t="s">
        <v>802</v>
      </c>
    </row>
    <row r="902" spans="1:6" x14ac:dyDescent="0.2">
      <c r="A902" s="79" t="s">
        <v>1324</v>
      </c>
      <c r="B902" s="79" t="s">
        <v>132</v>
      </c>
      <c r="C902" s="82">
        <v>74502.039999999994</v>
      </c>
      <c r="D902" s="82">
        <v>77652.87</v>
      </c>
      <c r="E902" s="82">
        <v>-3150.83</v>
      </c>
      <c r="F902" s="79" t="s">
        <v>802</v>
      </c>
    </row>
    <row r="903" spans="1:6" x14ac:dyDescent="0.2">
      <c r="A903" s="79" t="s">
        <v>1326</v>
      </c>
      <c r="B903" s="79" t="s">
        <v>1327</v>
      </c>
      <c r="C903" s="82">
        <v>6884787.54</v>
      </c>
      <c r="D903" s="82">
        <v>5972943.6200000001</v>
      </c>
      <c r="E903" s="82">
        <v>911843.92</v>
      </c>
      <c r="F903" s="79" t="s">
        <v>1560</v>
      </c>
    </row>
    <row r="904" spans="1:6" x14ac:dyDescent="0.2">
      <c r="A904" s="79" t="s">
        <v>1326</v>
      </c>
      <c r="B904" s="79" t="s">
        <v>1328</v>
      </c>
      <c r="C904" s="82">
        <v>0</v>
      </c>
      <c r="D904" s="82">
        <v>24838</v>
      </c>
      <c r="E904" s="82">
        <v>-24838</v>
      </c>
      <c r="F904" s="79" t="s">
        <v>297</v>
      </c>
    </row>
    <row r="905" spans="1:6" x14ac:dyDescent="0.2">
      <c r="A905" s="79" t="s">
        <v>1326</v>
      </c>
      <c r="B905" s="79" t="s">
        <v>1329</v>
      </c>
      <c r="C905" s="82">
        <v>875761.3</v>
      </c>
      <c r="D905" s="82">
        <v>806730.22</v>
      </c>
      <c r="E905" s="82">
        <v>69031.08</v>
      </c>
      <c r="F905" s="79" t="s">
        <v>1330</v>
      </c>
    </row>
    <row r="906" spans="1:6" x14ac:dyDescent="0.2">
      <c r="A906" s="79" t="s">
        <v>1326</v>
      </c>
      <c r="B906" s="79" t="s">
        <v>1331</v>
      </c>
      <c r="C906" s="82">
        <v>1500</v>
      </c>
      <c r="D906" s="82">
        <v>210</v>
      </c>
      <c r="E906" s="82">
        <v>1290</v>
      </c>
      <c r="F906" s="79" t="s">
        <v>1332</v>
      </c>
    </row>
    <row r="907" spans="1:6" x14ac:dyDescent="0.2">
      <c r="A907" s="79" t="s">
        <v>1326</v>
      </c>
      <c r="B907" s="79" t="s">
        <v>1333</v>
      </c>
      <c r="C907" s="82">
        <v>120587.83</v>
      </c>
      <c r="D907" s="82">
        <v>156113.53</v>
      </c>
      <c r="E907" s="82">
        <v>-35525.699999999997</v>
      </c>
      <c r="F907" s="79" t="s">
        <v>1334</v>
      </c>
    </row>
    <row r="908" spans="1:6" x14ac:dyDescent="0.2">
      <c r="A908" s="79" t="s">
        <v>1326</v>
      </c>
      <c r="B908" s="79" t="s">
        <v>1335</v>
      </c>
      <c r="C908" s="82">
        <v>153488.9</v>
      </c>
      <c r="D908" s="82">
        <v>179628.18</v>
      </c>
      <c r="E908" s="82">
        <v>-26139.279999999999</v>
      </c>
      <c r="F908" s="79" t="s">
        <v>1008</v>
      </c>
    </row>
    <row r="909" spans="1:6" x14ac:dyDescent="0.2">
      <c r="A909" s="79" t="s">
        <v>1326</v>
      </c>
      <c r="B909" s="79" t="s">
        <v>1336</v>
      </c>
      <c r="C909" s="82">
        <v>12109.6</v>
      </c>
      <c r="D909" s="82">
        <v>18565.599999999999</v>
      </c>
      <c r="E909" s="82">
        <v>-6456</v>
      </c>
      <c r="F909" s="79" t="s">
        <v>1337</v>
      </c>
    </row>
    <row r="910" spans="1:6" x14ac:dyDescent="0.2">
      <c r="A910" s="79" t="s">
        <v>1326</v>
      </c>
      <c r="B910" s="79" t="s">
        <v>1338</v>
      </c>
      <c r="C910" s="82">
        <v>3379.25</v>
      </c>
      <c r="D910" s="82">
        <v>3411.65</v>
      </c>
      <c r="E910" s="82">
        <v>-32.4</v>
      </c>
      <c r="F910" s="79" t="s">
        <v>972</v>
      </c>
    </row>
    <row r="911" spans="1:6" x14ac:dyDescent="0.2">
      <c r="A911" s="79" t="s">
        <v>1326</v>
      </c>
      <c r="B911" s="79" t="s">
        <v>1339</v>
      </c>
      <c r="C911" s="82">
        <v>10036.549999999999</v>
      </c>
      <c r="D911" s="82">
        <v>11615.71</v>
      </c>
      <c r="E911" s="82">
        <v>-1579.16</v>
      </c>
      <c r="F911" s="79" t="s">
        <v>1340</v>
      </c>
    </row>
    <row r="912" spans="1:6" x14ac:dyDescent="0.2">
      <c r="A912" s="79" t="s">
        <v>1326</v>
      </c>
      <c r="B912" s="79" t="s">
        <v>1341</v>
      </c>
      <c r="C912" s="82">
        <v>27465.93</v>
      </c>
      <c r="D912" s="82">
        <v>28028.74</v>
      </c>
      <c r="E912" s="82">
        <v>-562.80999999999995</v>
      </c>
      <c r="F912" s="79" t="s">
        <v>175</v>
      </c>
    </row>
    <row r="913" spans="1:6" x14ac:dyDescent="0.2">
      <c r="A913" s="79" t="s">
        <v>1326</v>
      </c>
      <c r="B913" s="79" t="s">
        <v>1342</v>
      </c>
      <c r="C913" s="82">
        <v>1127646.52</v>
      </c>
      <c r="D913" s="82">
        <v>973928.38</v>
      </c>
      <c r="E913" s="82">
        <v>153718.14000000001</v>
      </c>
      <c r="F913" s="79" t="s">
        <v>1343</v>
      </c>
    </row>
    <row r="914" spans="1:6" x14ac:dyDescent="0.2">
      <c r="A914" s="79" t="s">
        <v>1326</v>
      </c>
      <c r="B914" s="79" t="s">
        <v>1344</v>
      </c>
      <c r="C914" s="82">
        <v>1108.31</v>
      </c>
      <c r="D914" s="82">
        <v>1287.52</v>
      </c>
      <c r="E914" s="82">
        <v>-179.21</v>
      </c>
      <c r="F914" s="79" t="s">
        <v>1345</v>
      </c>
    </row>
    <row r="915" spans="1:6" x14ac:dyDescent="0.2">
      <c r="A915" s="79" t="s">
        <v>1326</v>
      </c>
      <c r="B915" s="79" t="s">
        <v>1346</v>
      </c>
      <c r="C915" s="82">
        <v>1357.3</v>
      </c>
      <c r="D915" s="82">
        <v>4696.32</v>
      </c>
      <c r="E915" s="82">
        <v>-3339.02</v>
      </c>
      <c r="F915" s="79" t="s">
        <v>1347</v>
      </c>
    </row>
    <row r="916" spans="1:6" x14ac:dyDescent="0.2">
      <c r="A916" s="79" t="s">
        <v>1326</v>
      </c>
      <c r="B916" s="79" t="s">
        <v>1348</v>
      </c>
      <c r="C916" s="82">
        <v>2984.73</v>
      </c>
      <c r="D916" s="82">
        <v>2899.89</v>
      </c>
      <c r="E916" s="82">
        <v>84.84</v>
      </c>
      <c r="F916" s="79" t="s">
        <v>901</v>
      </c>
    </row>
    <row r="917" spans="1:6" x14ac:dyDescent="0.2">
      <c r="A917" s="79" t="s">
        <v>1326</v>
      </c>
      <c r="B917" s="79" t="s">
        <v>1349</v>
      </c>
      <c r="C917" s="82">
        <v>33273.410000000003</v>
      </c>
      <c r="D917" s="82">
        <v>56559.86</v>
      </c>
      <c r="E917" s="82">
        <v>-23286.45</v>
      </c>
      <c r="F917" s="79" t="s">
        <v>1350</v>
      </c>
    </row>
    <row r="918" spans="1:6" x14ac:dyDescent="0.2">
      <c r="A918" s="79" t="s">
        <v>1326</v>
      </c>
      <c r="B918" s="79" t="s">
        <v>1351</v>
      </c>
      <c r="C918" s="82">
        <v>65876.820000000007</v>
      </c>
      <c r="D918" s="82">
        <v>64583.43</v>
      </c>
      <c r="E918" s="82">
        <v>1293.3900000000001</v>
      </c>
      <c r="F918" s="79" t="s">
        <v>632</v>
      </c>
    </row>
    <row r="919" spans="1:6" x14ac:dyDescent="0.2">
      <c r="A919" s="79" t="s">
        <v>1326</v>
      </c>
      <c r="B919" s="79" t="s">
        <v>1352</v>
      </c>
      <c r="C919" s="82">
        <v>12229.25</v>
      </c>
      <c r="D919" s="82">
        <v>24786.54</v>
      </c>
      <c r="E919" s="82">
        <v>-12557.29</v>
      </c>
      <c r="F919" s="79" t="s">
        <v>1353</v>
      </c>
    </row>
    <row r="920" spans="1:6" x14ac:dyDescent="0.2">
      <c r="A920" s="79" t="s">
        <v>1326</v>
      </c>
      <c r="B920" s="79" t="s">
        <v>1354</v>
      </c>
      <c r="C920" s="82">
        <v>74.900000000000006</v>
      </c>
      <c r="D920" s="82">
        <v>0</v>
      </c>
      <c r="E920" s="82">
        <v>74.900000000000006</v>
      </c>
      <c r="F920" s="79" t="s">
        <v>132</v>
      </c>
    </row>
    <row r="921" spans="1:6" x14ac:dyDescent="0.2">
      <c r="A921" s="79" t="s">
        <v>1326</v>
      </c>
      <c r="B921" s="79" t="s">
        <v>1355</v>
      </c>
      <c r="C921" s="82">
        <v>1035709.53</v>
      </c>
      <c r="D921" s="82">
        <v>1053999.1200000001</v>
      </c>
      <c r="E921" s="82">
        <v>-18289.59</v>
      </c>
      <c r="F921" s="79" t="s">
        <v>514</v>
      </c>
    </row>
    <row r="922" spans="1:6" x14ac:dyDescent="0.2">
      <c r="A922" s="79" t="s">
        <v>1326</v>
      </c>
      <c r="B922" s="79" t="s">
        <v>1356</v>
      </c>
      <c r="C922" s="82">
        <v>108859.32</v>
      </c>
      <c r="D922" s="82">
        <v>94260.02</v>
      </c>
      <c r="E922" s="82">
        <v>14599.3</v>
      </c>
      <c r="F922" s="79" t="s">
        <v>1316</v>
      </c>
    </row>
    <row r="923" spans="1:6" x14ac:dyDescent="0.2">
      <c r="A923" s="79" t="s">
        <v>1326</v>
      </c>
      <c r="B923" s="79" t="s">
        <v>1357</v>
      </c>
      <c r="C923" s="82">
        <v>247491.12</v>
      </c>
      <c r="D923" s="82">
        <v>409498.41</v>
      </c>
      <c r="E923" s="82">
        <v>-162007.29</v>
      </c>
      <c r="F923" s="79" t="s">
        <v>1358</v>
      </c>
    </row>
    <row r="924" spans="1:6" x14ac:dyDescent="0.2">
      <c r="A924" s="79" t="s">
        <v>1326</v>
      </c>
      <c r="B924" s="79" t="s">
        <v>1359</v>
      </c>
      <c r="C924" s="82">
        <v>657348</v>
      </c>
      <c r="D924" s="82">
        <v>613036.05000000005</v>
      </c>
      <c r="E924" s="82">
        <v>44311.95</v>
      </c>
      <c r="F924" s="79" t="s">
        <v>1083</v>
      </c>
    </row>
    <row r="925" spans="1:6" x14ac:dyDescent="0.2">
      <c r="A925" s="79" t="s">
        <v>1326</v>
      </c>
      <c r="B925" s="79" t="s">
        <v>1360</v>
      </c>
      <c r="C925" s="82">
        <v>5100.84</v>
      </c>
      <c r="D925" s="82">
        <v>5122.8</v>
      </c>
      <c r="E925" s="82">
        <v>-21.96</v>
      </c>
      <c r="F925" s="79" t="s">
        <v>1361</v>
      </c>
    </row>
    <row r="926" spans="1:6" x14ac:dyDescent="0.2">
      <c r="A926" s="79" t="s">
        <v>1326</v>
      </c>
      <c r="B926" s="79" t="s">
        <v>1362</v>
      </c>
      <c r="C926" s="82">
        <v>66627.75</v>
      </c>
      <c r="D926" s="82">
        <v>60968.959999999999</v>
      </c>
      <c r="E926" s="82">
        <v>5658.79</v>
      </c>
      <c r="F926" s="79" t="s">
        <v>572</v>
      </c>
    </row>
    <row r="927" spans="1:6" x14ac:dyDescent="0.2">
      <c r="A927" s="79" t="s">
        <v>1326</v>
      </c>
      <c r="B927" s="79" t="s">
        <v>1363</v>
      </c>
      <c r="C927" s="82">
        <v>4255405.26</v>
      </c>
      <c r="D927" s="82">
        <v>3950679.91</v>
      </c>
      <c r="E927" s="82">
        <v>304725.34999999998</v>
      </c>
      <c r="F927" s="79" t="s">
        <v>1364</v>
      </c>
    </row>
    <row r="928" spans="1:6" x14ac:dyDescent="0.2">
      <c r="A928" s="79" t="s">
        <v>1326</v>
      </c>
      <c r="B928" s="79" t="s">
        <v>1365</v>
      </c>
      <c r="C928" s="82">
        <v>2435.15</v>
      </c>
      <c r="D928" s="82">
        <v>1686.14</v>
      </c>
      <c r="E928" s="82">
        <v>749.01</v>
      </c>
      <c r="F928" s="79" t="s">
        <v>1366</v>
      </c>
    </row>
    <row r="929" spans="1:6" x14ac:dyDescent="0.2">
      <c r="A929" s="79" t="s">
        <v>1326</v>
      </c>
      <c r="B929" s="79" t="s">
        <v>1367</v>
      </c>
      <c r="C929" s="82">
        <v>195133.34</v>
      </c>
      <c r="D929" s="82">
        <v>340515.42</v>
      </c>
      <c r="E929" s="82">
        <v>-145382.07999999999</v>
      </c>
      <c r="F929" s="79" t="s">
        <v>1368</v>
      </c>
    </row>
    <row r="930" spans="1:6" x14ac:dyDescent="0.2">
      <c r="A930" s="79" t="s">
        <v>1326</v>
      </c>
      <c r="B930" s="79" t="s">
        <v>1369</v>
      </c>
      <c r="C930" s="82">
        <v>747836.5</v>
      </c>
      <c r="D930" s="82">
        <v>780628.72</v>
      </c>
      <c r="E930" s="82">
        <v>-32792.22</v>
      </c>
      <c r="F930" s="79" t="s">
        <v>854</v>
      </c>
    </row>
    <row r="931" spans="1:6" x14ac:dyDescent="0.2">
      <c r="A931" s="79" t="s">
        <v>1326</v>
      </c>
      <c r="B931" s="79" t="s">
        <v>1370</v>
      </c>
      <c r="C931" s="82">
        <v>84597.08</v>
      </c>
      <c r="D931" s="82">
        <v>94225.3</v>
      </c>
      <c r="E931" s="82">
        <v>-9628.2199999999993</v>
      </c>
      <c r="F931" s="79" t="s">
        <v>1371</v>
      </c>
    </row>
    <row r="932" spans="1:6" x14ac:dyDescent="0.2">
      <c r="A932" s="79" t="s">
        <v>1326</v>
      </c>
      <c r="B932" s="79" t="s">
        <v>132</v>
      </c>
      <c r="C932" s="82">
        <v>16740212.029999999</v>
      </c>
      <c r="D932" s="82">
        <v>15735448.039999999</v>
      </c>
      <c r="E932" s="82">
        <v>1004763.99</v>
      </c>
      <c r="F932" s="79" t="s">
        <v>1561</v>
      </c>
    </row>
    <row r="933" spans="1:6" x14ac:dyDescent="0.2">
      <c r="A933" s="79" t="s">
        <v>1372</v>
      </c>
      <c r="B933" s="79" t="s">
        <v>1373</v>
      </c>
      <c r="C933" s="82">
        <v>5758.12</v>
      </c>
      <c r="D933" s="82">
        <v>5712.81</v>
      </c>
      <c r="E933" s="82">
        <v>45.31</v>
      </c>
      <c r="F933" s="79" t="s">
        <v>1323</v>
      </c>
    </row>
    <row r="934" spans="1:6" x14ac:dyDescent="0.2">
      <c r="A934" s="79" t="s">
        <v>1372</v>
      </c>
      <c r="B934" s="79" t="s">
        <v>1374</v>
      </c>
      <c r="C934" s="82">
        <v>20451.09</v>
      </c>
      <c r="D934" s="82">
        <v>21245.55</v>
      </c>
      <c r="E934" s="82">
        <v>-794.46</v>
      </c>
      <c r="F934" s="79" t="s">
        <v>925</v>
      </c>
    </row>
    <row r="935" spans="1:6" x14ac:dyDescent="0.2">
      <c r="A935" s="79" t="s">
        <v>1372</v>
      </c>
      <c r="B935" s="79" t="s">
        <v>1375</v>
      </c>
      <c r="C935" s="82">
        <v>148303.6</v>
      </c>
      <c r="D935" s="82">
        <v>152900.78</v>
      </c>
      <c r="E935" s="82">
        <v>-4597.18</v>
      </c>
      <c r="F935" s="79" t="s">
        <v>1376</v>
      </c>
    </row>
    <row r="936" spans="1:6" x14ac:dyDescent="0.2">
      <c r="A936" s="79" t="s">
        <v>1372</v>
      </c>
      <c r="B936" s="79" t="s">
        <v>1377</v>
      </c>
      <c r="C936" s="82">
        <v>30341.69</v>
      </c>
      <c r="D936" s="82">
        <v>30705.13</v>
      </c>
      <c r="E936" s="82">
        <v>-363.44</v>
      </c>
      <c r="F936" s="79" t="s">
        <v>1378</v>
      </c>
    </row>
    <row r="937" spans="1:6" x14ac:dyDescent="0.2">
      <c r="A937" s="79" t="s">
        <v>1372</v>
      </c>
      <c r="B937" s="79" t="s">
        <v>1379</v>
      </c>
      <c r="C937" s="82">
        <v>71154.720000000001</v>
      </c>
      <c r="D937" s="82">
        <v>87248.77</v>
      </c>
      <c r="E937" s="82">
        <v>-16094.05</v>
      </c>
      <c r="F937" s="79" t="s">
        <v>1380</v>
      </c>
    </row>
    <row r="938" spans="1:6" x14ac:dyDescent="0.2">
      <c r="A938" s="79" t="s">
        <v>1372</v>
      </c>
      <c r="B938" s="79" t="s">
        <v>132</v>
      </c>
      <c r="C938" s="82">
        <v>276009.21999999997</v>
      </c>
      <c r="D938" s="82">
        <v>297813.03999999998</v>
      </c>
      <c r="E938" s="82">
        <v>-21803.82</v>
      </c>
      <c r="F938" s="79" t="s">
        <v>862</v>
      </c>
    </row>
    <row r="939" spans="1:6" x14ac:dyDescent="0.2">
      <c r="A939" s="79" t="s">
        <v>1381</v>
      </c>
      <c r="B939" s="79" t="s">
        <v>132</v>
      </c>
      <c r="C939" s="82">
        <v>59379465.119999997</v>
      </c>
      <c r="D939" s="82">
        <v>58481887.219999999</v>
      </c>
      <c r="E939" s="82">
        <v>897577.9</v>
      </c>
      <c r="F939" s="79" t="s">
        <v>1115</v>
      </c>
    </row>
    <row r="940" spans="1:6" x14ac:dyDescent="0.2">
      <c r="A940" s="79" t="s">
        <v>1383</v>
      </c>
      <c r="B940" s="79" t="s">
        <v>132</v>
      </c>
      <c r="C940" s="82">
        <v>69384919.019999996</v>
      </c>
      <c r="D940" s="82">
        <v>64355319.060000002</v>
      </c>
      <c r="E940" s="82">
        <v>5029599.96</v>
      </c>
      <c r="F940" s="79" t="s">
        <v>735</v>
      </c>
    </row>
    <row r="941" spans="1:6" x14ac:dyDescent="0.2">
      <c r="A941" s="79" t="s">
        <v>1202</v>
      </c>
      <c r="B941" s="79" t="s">
        <v>1384</v>
      </c>
      <c r="C941" s="82">
        <v>69384919.019999996</v>
      </c>
      <c r="D941" s="82">
        <v>64355319.060000002</v>
      </c>
      <c r="E941" s="82">
        <v>5029599.96</v>
      </c>
      <c r="F941" s="79" t="s">
        <v>735</v>
      </c>
    </row>
    <row r="942" spans="1:6" x14ac:dyDescent="0.2">
      <c r="A942" s="79" t="s">
        <v>1202</v>
      </c>
      <c r="B942" s="83" t="s">
        <v>309</v>
      </c>
      <c r="C942" s="82">
        <v>0</v>
      </c>
      <c r="D942" s="82">
        <v>0</v>
      </c>
      <c r="E942" s="82">
        <v>0</v>
      </c>
      <c r="F942" s="79" t="s">
        <v>132</v>
      </c>
    </row>
    <row r="943" spans="1:6" x14ac:dyDescent="0.2">
      <c r="A943" s="79" t="s">
        <v>763</v>
      </c>
      <c r="B943" s="79" t="s">
        <v>1385</v>
      </c>
      <c r="C943" s="82">
        <v>-56784906.240000002</v>
      </c>
      <c r="D943" s="82">
        <v>-47913868.079999998</v>
      </c>
      <c r="E943" s="82">
        <v>-8871038.1600000001</v>
      </c>
      <c r="F943" s="79" t="s">
        <v>1009</v>
      </c>
    </row>
    <row r="944" spans="1:6" x14ac:dyDescent="0.2">
      <c r="A944" s="79" t="s">
        <v>763</v>
      </c>
      <c r="B944" s="83" t="s">
        <v>136</v>
      </c>
      <c r="C944" s="82">
        <v>0</v>
      </c>
      <c r="D944" s="82">
        <v>0</v>
      </c>
      <c r="E944" s="82">
        <v>0</v>
      </c>
      <c r="F944" s="79" t="s">
        <v>132</v>
      </c>
    </row>
    <row r="945" spans="1:6" x14ac:dyDescent="0.2">
      <c r="A945" s="79" t="s">
        <v>1386</v>
      </c>
      <c r="B945" s="79" t="s">
        <v>1387</v>
      </c>
      <c r="C945" s="82">
        <v>0</v>
      </c>
      <c r="D945" s="82">
        <v>0</v>
      </c>
      <c r="E945" s="82">
        <v>0</v>
      </c>
      <c r="F945" s="79" t="s">
        <v>132</v>
      </c>
    </row>
    <row r="946" spans="1:6" x14ac:dyDescent="0.2">
      <c r="A946" s="79" t="s">
        <v>1386</v>
      </c>
      <c r="B946" s="83" t="s">
        <v>256</v>
      </c>
      <c r="C946" s="82">
        <v>0</v>
      </c>
      <c r="D946" s="82">
        <v>0</v>
      </c>
      <c r="E946" s="82">
        <v>0</v>
      </c>
      <c r="F946" s="79" t="s">
        <v>132</v>
      </c>
    </row>
    <row r="947" spans="1:6" x14ac:dyDescent="0.2">
      <c r="A947" s="79" t="s">
        <v>1388</v>
      </c>
      <c r="B947" s="79" t="s">
        <v>1389</v>
      </c>
      <c r="C947" s="82">
        <v>0</v>
      </c>
      <c r="D947" s="82">
        <v>0</v>
      </c>
      <c r="E947" s="82">
        <v>0</v>
      </c>
      <c r="F947" s="79" t="s">
        <v>132</v>
      </c>
    </row>
    <row r="948" spans="1:6" x14ac:dyDescent="0.2">
      <c r="A948" s="79" t="s">
        <v>1388</v>
      </c>
      <c r="B948" s="83" t="s">
        <v>202</v>
      </c>
      <c r="C948" s="82">
        <v>0</v>
      </c>
      <c r="D948" s="82">
        <v>0</v>
      </c>
      <c r="E948" s="82">
        <v>0</v>
      </c>
      <c r="F948" s="79" t="s">
        <v>132</v>
      </c>
    </row>
    <row r="949" spans="1:6" x14ac:dyDescent="0.2">
      <c r="A949" s="79" t="s">
        <v>1390</v>
      </c>
      <c r="B949" s="79" t="s">
        <v>1391</v>
      </c>
      <c r="C949" s="82">
        <v>0</v>
      </c>
      <c r="D949" s="82">
        <v>0</v>
      </c>
      <c r="E949" s="82">
        <v>0</v>
      </c>
      <c r="F949" s="79" t="s">
        <v>132</v>
      </c>
    </row>
    <row r="950" spans="1:6" x14ac:dyDescent="0.2">
      <c r="A950" s="79" t="s">
        <v>1390</v>
      </c>
      <c r="B950" s="83" t="s">
        <v>1392</v>
      </c>
      <c r="C950" s="82">
        <v>0</v>
      </c>
      <c r="D950" s="82">
        <v>0</v>
      </c>
      <c r="E950" s="82">
        <v>0</v>
      </c>
      <c r="F950" s="79" t="s">
        <v>132</v>
      </c>
    </row>
    <row r="951" spans="1:6" x14ac:dyDescent="0.2">
      <c r="A951" s="79" t="s">
        <v>1390</v>
      </c>
      <c r="B951" s="79" t="s">
        <v>1393</v>
      </c>
      <c r="C951" s="82">
        <v>-404732.85</v>
      </c>
      <c r="D951" s="82">
        <v>-459341.41</v>
      </c>
      <c r="E951" s="82">
        <v>54608.56</v>
      </c>
      <c r="F951" s="79" t="s">
        <v>1394</v>
      </c>
    </row>
    <row r="952" spans="1:6" x14ac:dyDescent="0.2">
      <c r="A952" s="79" t="s">
        <v>1390</v>
      </c>
      <c r="B952" s="79" t="s">
        <v>132</v>
      </c>
      <c r="C952" s="82">
        <v>-404732.85</v>
      </c>
      <c r="D952" s="82">
        <v>-459341.41</v>
      </c>
      <c r="E952" s="82">
        <v>54608.56</v>
      </c>
      <c r="F952" s="79" t="s">
        <v>1394</v>
      </c>
    </row>
    <row r="953" spans="1:6" x14ac:dyDescent="0.2">
      <c r="A953" s="79" t="s">
        <v>1388</v>
      </c>
      <c r="B953" s="79" t="s">
        <v>132</v>
      </c>
      <c r="C953" s="82">
        <v>-404732.85</v>
      </c>
      <c r="D953" s="82">
        <v>-459341.41</v>
      </c>
      <c r="E953" s="82">
        <v>54608.56</v>
      </c>
      <c r="F953" s="79" t="s">
        <v>1394</v>
      </c>
    </row>
    <row r="954" spans="1:6" x14ac:dyDescent="0.2">
      <c r="A954" s="79" t="s">
        <v>1395</v>
      </c>
      <c r="B954" s="79" t="s">
        <v>85</v>
      </c>
      <c r="C954" s="82">
        <v>0</v>
      </c>
      <c r="D954" s="82">
        <v>0</v>
      </c>
      <c r="E954" s="82">
        <v>0</v>
      </c>
      <c r="F954" s="79" t="s">
        <v>132</v>
      </c>
    </row>
    <row r="955" spans="1:6" x14ac:dyDescent="0.2">
      <c r="A955" s="79" t="s">
        <v>1395</v>
      </c>
      <c r="B955" s="83" t="s">
        <v>139</v>
      </c>
      <c r="C955" s="82">
        <v>0</v>
      </c>
      <c r="D955" s="82">
        <v>0</v>
      </c>
      <c r="E955" s="82">
        <v>0</v>
      </c>
      <c r="F955" s="79" t="s">
        <v>132</v>
      </c>
    </row>
    <row r="956" spans="1:6" x14ac:dyDescent="0.2">
      <c r="A956" s="79" t="s">
        <v>1395</v>
      </c>
      <c r="B956" s="79" t="s">
        <v>1396</v>
      </c>
      <c r="C956" s="82">
        <v>-1193400.04</v>
      </c>
      <c r="D956" s="82">
        <v>-763751.84</v>
      </c>
      <c r="E956" s="82">
        <v>-429648.2</v>
      </c>
      <c r="F956" s="79" t="s">
        <v>1397</v>
      </c>
    </row>
    <row r="957" spans="1:6" x14ac:dyDescent="0.2">
      <c r="A957" s="79" t="s">
        <v>1395</v>
      </c>
      <c r="B957" s="79" t="s">
        <v>132</v>
      </c>
      <c r="C957" s="82">
        <v>-1193400.04</v>
      </c>
      <c r="D957" s="82">
        <v>-763751.84</v>
      </c>
      <c r="E957" s="82">
        <v>-429648.2</v>
      </c>
      <c r="F957" s="79" t="s">
        <v>1397</v>
      </c>
    </row>
    <row r="958" spans="1:6" x14ac:dyDescent="0.2">
      <c r="A958" s="79" t="s">
        <v>1398</v>
      </c>
      <c r="B958" s="79" t="s">
        <v>1399</v>
      </c>
      <c r="C958" s="82">
        <v>0</v>
      </c>
      <c r="D958" s="82">
        <v>0</v>
      </c>
      <c r="E958" s="82">
        <v>0</v>
      </c>
      <c r="F958" s="79" t="s">
        <v>132</v>
      </c>
    </row>
    <row r="959" spans="1:6" x14ac:dyDescent="0.2">
      <c r="A959" s="79" t="s">
        <v>1398</v>
      </c>
      <c r="B959" s="79" t="s">
        <v>1400</v>
      </c>
      <c r="C959" s="82">
        <v>0</v>
      </c>
      <c r="D959" s="82">
        <v>0</v>
      </c>
      <c r="E959" s="82">
        <v>0</v>
      </c>
      <c r="F959" s="79" t="s">
        <v>132</v>
      </c>
    </row>
    <row r="960" spans="1:6" x14ac:dyDescent="0.2">
      <c r="A960" s="79" t="s">
        <v>1398</v>
      </c>
      <c r="B960" s="83" t="s">
        <v>312</v>
      </c>
      <c r="C960" s="82">
        <v>0</v>
      </c>
      <c r="D960" s="82">
        <v>0</v>
      </c>
      <c r="E960" s="82">
        <v>0</v>
      </c>
      <c r="F960" s="79" t="s">
        <v>132</v>
      </c>
    </row>
    <row r="961" spans="1:6" x14ac:dyDescent="0.2">
      <c r="A961" s="79" t="s">
        <v>1401</v>
      </c>
      <c r="B961" s="79" t="s">
        <v>1402</v>
      </c>
      <c r="C961" s="82">
        <v>-70.41</v>
      </c>
      <c r="D961" s="82">
        <v>-145.44999999999999</v>
      </c>
      <c r="E961" s="82">
        <v>75.040000000000006</v>
      </c>
      <c r="F961" s="79" t="s">
        <v>1403</v>
      </c>
    </row>
    <row r="962" spans="1:6" x14ac:dyDescent="0.2">
      <c r="A962" s="79" t="s">
        <v>1401</v>
      </c>
      <c r="B962" s="79" t="s">
        <v>1404</v>
      </c>
      <c r="C962" s="82">
        <v>-60200.07</v>
      </c>
      <c r="D962" s="82">
        <v>0</v>
      </c>
      <c r="E962" s="82">
        <v>-60200.07</v>
      </c>
      <c r="F962" s="79" t="s">
        <v>132</v>
      </c>
    </row>
    <row r="963" spans="1:6" x14ac:dyDescent="0.2">
      <c r="A963" s="79" t="s">
        <v>1401</v>
      </c>
      <c r="B963" s="79" t="s">
        <v>132</v>
      </c>
      <c r="C963" s="82">
        <v>-60270.48</v>
      </c>
      <c r="D963" s="82">
        <v>-145.44999999999999</v>
      </c>
      <c r="E963" s="82">
        <v>-60125.03</v>
      </c>
      <c r="F963" s="79" t="s">
        <v>1405</v>
      </c>
    </row>
    <row r="964" spans="1:6" x14ac:dyDescent="0.2">
      <c r="A964" s="79" t="s">
        <v>1398</v>
      </c>
      <c r="B964" s="79" t="s">
        <v>132</v>
      </c>
      <c r="C964" s="82">
        <v>-60270.48</v>
      </c>
      <c r="D964" s="82">
        <v>-145.44999999999999</v>
      </c>
      <c r="E964" s="82">
        <v>-60125.03</v>
      </c>
      <c r="F964" s="79" t="s">
        <v>1405</v>
      </c>
    </row>
    <row r="965" spans="1:6" x14ac:dyDescent="0.2">
      <c r="A965" s="79" t="s">
        <v>1406</v>
      </c>
      <c r="B965" s="79" t="s">
        <v>1407</v>
      </c>
      <c r="C965" s="82">
        <v>0</v>
      </c>
      <c r="D965" s="82">
        <v>0</v>
      </c>
      <c r="E965" s="82">
        <v>0</v>
      </c>
      <c r="F965" s="79" t="s">
        <v>132</v>
      </c>
    </row>
    <row r="966" spans="1:6" x14ac:dyDescent="0.2">
      <c r="A966" s="79" t="s">
        <v>1406</v>
      </c>
      <c r="B966" s="83" t="s">
        <v>167</v>
      </c>
      <c r="C966" s="82">
        <v>0</v>
      </c>
      <c r="D966" s="82">
        <v>0</v>
      </c>
      <c r="E966" s="82">
        <v>0</v>
      </c>
      <c r="F966" s="79" t="s">
        <v>132</v>
      </c>
    </row>
    <row r="967" spans="1:6" x14ac:dyDescent="0.2">
      <c r="A967" s="79" t="s">
        <v>1408</v>
      </c>
      <c r="B967" s="79" t="s">
        <v>1409</v>
      </c>
      <c r="C967" s="82">
        <v>-409289.2</v>
      </c>
      <c r="D967" s="82">
        <v>-436498.72</v>
      </c>
      <c r="E967" s="82">
        <v>27209.52</v>
      </c>
      <c r="F967" s="79" t="s">
        <v>1410</v>
      </c>
    </row>
    <row r="968" spans="1:6" x14ac:dyDescent="0.2">
      <c r="A968" s="79" t="s">
        <v>1408</v>
      </c>
      <c r="B968" s="79" t="s">
        <v>1411</v>
      </c>
      <c r="C968" s="82">
        <v>0</v>
      </c>
      <c r="D968" s="82">
        <v>-3754</v>
      </c>
      <c r="E968" s="82">
        <v>3754</v>
      </c>
      <c r="F968" s="79" t="s">
        <v>401</v>
      </c>
    </row>
    <row r="969" spans="1:6" x14ac:dyDescent="0.2">
      <c r="A969" s="79" t="s">
        <v>1408</v>
      </c>
      <c r="B969" s="79" t="s">
        <v>1412</v>
      </c>
      <c r="C969" s="82">
        <v>-881920.87</v>
      </c>
      <c r="D969" s="82">
        <v>-1079588.93</v>
      </c>
      <c r="E969" s="82">
        <v>197668.06</v>
      </c>
      <c r="F969" s="79" t="s">
        <v>1413</v>
      </c>
    </row>
    <row r="970" spans="1:6" x14ac:dyDescent="0.2">
      <c r="A970" s="79" t="s">
        <v>1408</v>
      </c>
      <c r="B970" s="79" t="s">
        <v>1414</v>
      </c>
      <c r="C970" s="82">
        <v>-527345.74</v>
      </c>
      <c r="D970" s="82">
        <v>-972825.44</v>
      </c>
      <c r="E970" s="82">
        <v>445479.7</v>
      </c>
      <c r="F970" s="79" t="s">
        <v>1415</v>
      </c>
    </row>
    <row r="971" spans="1:6" x14ac:dyDescent="0.2">
      <c r="A971" s="79" t="s">
        <v>1408</v>
      </c>
      <c r="B971" s="79" t="s">
        <v>1416</v>
      </c>
      <c r="C971" s="82">
        <v>0</v>
      </c>
      <c r="D971" s="82">
        <v>-109622.79</v>
      </c>
      <c r="E971" s="82">
        <v>109622.79</v>
      </c>
      <c r="F971" s="79" t="s">
        <v>401</v>
      </c>
    </row>
    <row r="972" spans="1:6" x14ac:dyDescent="0.2">
      <c r="A972" s="79" t="s">
        <v>1408</v>
      </c>
      <c r="B972" s="79" t="s">
        <v>132</v>
      </c>
      <c r="C972" s="82">
        <v>-1818555.81</v>
      </c>
      <c r="D972" s="82">
        <v>-2602289.88</v>
      </c>
      <c r="E972" s="82">
        <v>783734.07</v>
      </c>
      <c r="F972" s="79" t="s">
        <v>1417</v>
      </c>
    </row>
    <row r="973" spans="1:6" x14ac:dyDescent="0.2">
      <c r="A973" s="79" t="s">
        <v>1418</v>
      </c>
      <c r="B973" s="79" t="s">
        <v>1419</v>
      </c>
      <c r="C973" s="82">
        <v>-2486.17</v>
      </c>
      <c r="D973" s="82">
        <v>-17431.490000000002</v>
      </c>
      <c r="E973" s="82">
        <v>14945.32</v>
      </c>
      <c r="F973" s="79" t="s">
        <v>1420</v>
      </c>
    </row>
    <row r="974" spans="1:6" x14ac:dyDescent="0.2">
      <c r="A974" s="79" t="s">
        <v>1418</v>
      </c>
      <c r="B974" s="79" t="s">
        <v>132</v>
      </c>
      <c r="C974" s="82">
        <v>-2486.17</v>
      </c>
      <c r="D974" s="82">
        <v>-17431.490000000002</v>
      </c>
      <c r="E974" s="82">
        <v>14945.32</v>
      </c>
      <c r="F974" s="79" t="s">
        <v>1420</v>
      </c>
    </row>
    <row r="975" spans="1:6" x14ac:dyDescent="0.2">
      <c r="A975" s="79" t="s">
        <v>1421</v>
      </c>
      <c r="B975" s="79" t="s">
        <v>1422</v>
      </c>
      <c r="C975" s="82">
        <v>-8387.08</v>
      </c>
      <c r="D975" s="82">
        <v>-183852.84</v>
      </c>
      <c r="E975" s="82">
        <v>175465.76</v>
      </c>
      <c r="F975" s="79" t="s">
        <v>1423</v>
      </c>
    </row>
    <row r="976" spans="1:6" x14ac:dyDescent="0.2">
      <c r="A976" s="79" t="s">
        <v>1421</v>
      </c>
      <c r="B976" s="79" t="s">
        <v>132</v>
      </c>
      <c r="C976" s="82">
        <v>-8387.08</v>
      </c>
      <c r="D976" s="82">
        <v>-183852.84</v>
      </c>
      <c r="E976" s="82">
        <v>175465.76</v>
      </c>
      <c r="F976" s="79" t="s">
        <v>1423</v>
      </c>
    </row>
    <row r="977" spans="1:6" x14ac:dyDescent="0.2">
      <c r="A977" s="79" t="s">
        <v>1406</v>
      </c>
      <c r="B977" s="79" t="s">
        <v>1424</v>
      </c>
      <c r="C977" s="82">
        <v>-1829429.06</v>
      </c>
      <c r="D977" s="82">
        <v>-2803574.21</v>
      </c>
      <c r="E977" s="82">
        <v>974145.15</v>
      </c>
      <c r="F977" s="79" t="s">
        <v>1095</v>
      </c>
    </row>
    <row r="978" spans="1:6" x14ac:dyDescent="0.2">
      <c r="A978" s="79" t="s">
        <v>1406</v>
      </c>
      <c r="B978" s="83" t="s">
        <v>167</v>
      </c>
      <c r="C978" s="82">
        <v>0</v>
      </c>
      <c r="D978" s="82">
        <v>0</v>
      </c>
      <c r="E978" s="82">
        <v>0</v>
      </c>
      <c r="F978" s="79" t="s">
        <v>132</v>
      </c>
    </row>
    <row r="979" spans="1:6" x14ac:dyDescent="0.2">
      <c r="A979" s="79" t="s">
        <v>1425</v>
      </c>
      <c r="B979" s="79" t="s">
        <v>1426</v>
      </c>
      <c r="C979" s="82">
        <v>0</v>
      </c>
      <c r="D979" s="82">
        <v>0</v>
      </c>
      <c r="E979" s="82">
        <v>0</v>
      </c>
      <c r="F979" s="79" t="s">
        <v>132</v>
      </c>
    </row>
    <row r="980" spans="1:6" x14ac:dyDescent="0.2">
      <c r="A980" s="79" t="s">
        <v>1425</v>
      </c>
      <c r="B980" s="83" t="s">
        <v>139</v>
      </c>
      <c r="C980" s="82">
        <v>0</v>
      </c>
      <c r="D980" s="82">
        <v>0</v>
      </c>
      <c r="E980" s="82">
        <v>0</v>
      </c>
      <c r="F980" s="79" t="s">
        <v>132</v>
      </c>
    </row>
    <row r="981" spans="1:6" x14ac:dyDescent="0.2">
      <c r="A981" s="79" t="s">
        <v>1425</v>
      </c>
      <c r="B981" s="79" t="s">
        <v>1427</v>
      </c>
      <c r="C981" s="82">
        <v>1354804.66</v>
      </c>
      <c r="D981" s="82">
        <v>1735218.37</v>
      </c>
      <c r="E981" s="82">
        <v>-380413.71</v>
      </c>
      <c r="F981" s="79" t="s">
        <v>1428</v>
      </c>
    </row>
    <row r="982" spans="1:6" x14ac:dyDescent="0.2">
      <c r="A982" s="79" t="s">
        <v>1425</v>
      </c>
      <c r="B982" s="79" t="s">
        <v>132</v>
      </c>
      <c r="C982" s="82">
        <v>1354804.66</v>
      </c>
      <c r="D982" s="82">
        <v>1735218.37</v>
      </c>
      <c r="E982" s="82">
        <v>-380413.71</v>
      </c>
      <c r="F982" s="79" t="s">
        <v>1428</v>
      </c>
    </row>
    <row r="983" spans="1:6" x14ac:dyDescent="0.2">
      <c r="A983" s="79" t="s">
        <v>1429</v>
      </c>
      <c r="B983" s="79" t="s">
        <v>1430</v>
      </c>
      <c r="C983" s="82">
        <v>0</v>
      </c>
      <c r="D983" s="82">
        <v>0</v>
      </c>
      <c r="E983" s="82">
        <v>0</v>
      </c>
      <c r="F983" s="79" t="s">
        <v>132</v>
      </c>
    </row>
    <row r="984" spans="1:6" x14ac:dyDescent="0.2">
      <c r="A984" s="79" t="s">
        <v>1429</v>
      </c>
      <c r="B984" s="83" t="s">
        <v>504</v>
      </c>
      <c r="C984" s="82">
        <v>0</v>
      </c>
      <c r="D984" s="82">
        <v>0</v>
      </c>
      <c r="E984" s="82">
        <v>0</v>
      </c>
      <c r="F984" s="79" t="s">
        <v>132</v>
      </c>
    </row>
    <row r="985" spans="1:6" x14ac:dyDescent="0.2">
      <c r="A985" s="79" t="s">
        <v>1431</v>
      </c>
      <c r="B985" s="79" t="s">
        <v>1432</v>
      </c>
      <c r="C985" s="82">
        <v>4687308.37</v>
      </c>
      <c r="D985" s="82">
        <v>3987315.28</v>
      </c>
      <c r="E985" s="82">
        <v>699993.09</v>
      </c>
      <c r="F985" s="79" t="s">
        <v>287</v>
      </c>
    </row>
    <row r="986" spans="1:6" x14ac:dyDescent="0.2">
      <c r="A986" s="79" t="s">
        <v>1431</v>
      </c>
      <c r="B986" s="79" t="s">
        <v>1433</v>
      </c>
      <c r="C986" s="82">
        <v>18619118.399999999</v>
      </c>
      <c r="D986" s="82">
        <v>20023222.34</v>
      </c>
      <c r="E986" s="82">
        <v>-1404103.94</v>
      </c>
      <c r="F986" s="79" t="s">
        <v>1434</v>
      </c>
    </row>
    <row r="987" spans="1:6" x14ac:dyDescent="0.2">
      <c r="A987" s="79" t="s">
        <v>1431</v>
      </c>
      <c r="B987" s="79" t="s">
        <v>1435</v>
      </c>
      <c r="C987" s="82">
        <v>2031250</v>
      </c>
      <c r="D987" s="82">
        <v>3281250</v>
      </c>
      <c r="E987" s="82">
        <v>-1250000</v>
      </c>
      <c r="F987" s="79" t="s">
        <v>1436</v>
      </c>
    </row>
    <row r="988" spans="1:6" x14ac:dyDescent="0.2">
      <c r="A988" s="79" t="s">
        <v>1431</v>
      </c>
      <c r="B988" s="79" t="s">
        <v>132</v>
      </c>
      <c r="C988" s="82">
        <v>25337676.77</v>
      </c>
      <c r="D988" s="82">
        <v>27291787.620000001</v>
      </c>
      <c r="E988" s="82">
        <v>-1954110.85</v>
      </c>
      <c r="F988" s="79" t="s">
        <v>1437</v>
      </c>
    </row>
    <row r="989" spans="1:6" x14ac:dyDescent="0.2">
      <c r="A989" s="79" t="s">
        <v>1438</v>
      </c>
      <c r="B989" s="79" t="s">
        <v>1439</v>
      </c>
      <c r="C989" s="82">
        <v>-333.29</v>
      </c>
      <c r="D989" s="82">
        <v>-553.05999999999995</v>
      </c>
      <c r="E989" s="82">
        <v>219.77</v>
      </c>
      <c r="F989" s="79" t="s">
        <v>1440</v>
      </c>
    </row>
    <row r="990" spans="1:6" x14ac:dyDescent="0.2">
      <c r="A990" s="79" t="s">
        <v>1438</v>
      </c>
      <c r="B990" s="79" t="s">
        <v>1441</v>
      </c>
      <c r="C990" s="82">
        <v>7150892.6799999997</v>
      </c>
      <c r="D990" s="82">
        <v>8425753.3800000008</v>
      </c>
      <c r="E990" s="82">
        <v>-1274860.7</v>
      </c>
      <c r="F990" s="79" t="s">
        <v>1442</v>
      </c>
    </row>
    <row r="991" spans="1:6" x14ac:dyDescent="0.2">
      <c r="A991" s="79" t="s">
        <v>1438</v>
      </c>
      <c r="B991" s="79" t="s">
        <v>132</v>
      </c>
      <c r="C991" s="82">
        <v>7150559.3899999997</v>
      </c>
      <c r="D991" s="82">
        <v>8425200.3200000003</v>
      </c>
      <c r="E991" s="82">
        <v>-1274640.93</v>
      </c>
      <c r="F991" s="79" t="s">
        <v>1442</v>
      </c>
    </row>
    <row r="992" spans="1:6" x14ac:dyDescent="0.2">
      <c r="A992" s="79" t="s">
        <v>1443</v>
      </c>
      <c r="B992" s="79" t="s">
        <v>1444</v>
      </c>
      <c r="C992" s="82">
        <v>2830.2</v>
      </c>
      <c r="D992" s="82">
        <v>2689.07</v>
      </c>
      <c r="E992" s="82">
        <v>141.13</v>
      </c>
      <c r="F992" s="79" t="s">
        <v>1445</v>
      </c>
    </row>
    <row r="993" spans="1:6" x14ac:dyDescent="0.2">
      <c r="A993" s="79" t="s">
        <v>1443</v>
      </c>
      <c r="B993" s="79" t="s">
        <v>1446</v>
      </c>
      <c r="C993" s="82">
        <v>408.9</v>
      </c>
      <c r="D993" s="82">
        <v>4262.07</v>
      </c>
      <c r="E993" s="82">
        <v>-3853.17</v>
      </c>
      <c r="F993" s="79" t="s">
        <v>1447</v>
      </c>
    </row>
    <row r="994" spans="1:6" x14ac:dyDescent="0.2">
      <c r="A994" s="79" t="s">
        <v>1443</v>
      </c>
      <c r="B994" s="79" t="s">
        <v>1448</v>
      </c>
      <c r="C994" s="82">
        <v>42660.43</v>
      </c>
      <c r="D994" s="82">
        <v>7752.46</v>
      </c>
      <c r="E994" s="82">
        <v>34907.97</v>
      </c>
      <c r="F994" s="79" t="s">
        <v>1449</v>
      </c>
    </row>
    <row r="995" spans="1:6" x14ac:dyDescent="0.2">
      <c r="A995" s="79" t="s">
        <v>1443</v>
      </c>
      <c r="B995" s="79" t="s">
        <v>1450</v>
      </c>
      <c r="C995" s="82">
        <v>1295071.8899999999</v>
      </c>
      <c r="D995" s="82">
        <v>1395506.53</v>
      </c>
      <c r="E995" s="82">
        <v>-100434.64</v>
      </c>
      <c r="F995" s="79" t="s">
        <v>1437</v>
      </c>
    </row>
    <row r="996" spans="1:6" x14ac:dyDescent="0.2">
      <c r="A996" s="79" t="s">
        <v>1443</v>
      </c>
      <c r="B996" s="79" t="s">
        <v>1451</v>
      </c>
      <c r="C996" s="82">
        <v>5194.8100000000004</v>
      </c>
      <c r="D996" s="82">
        <v>670</v>
      </c>
      <c r="E996" s="82">
        <v>4524.8100000000004</v>
      </c>
      <c r="F996" s="79" t="s">
        <v>1452</v>
      </c>
    </row>
    <row r="997" spans="1:6" x14ac:dyDescent="0.2">
      <c r="A997" s="79" t="s">
        <v>1443</v>
      </c>
      <c r="B997" s="79" t="s">
        <v>1453</v>
      </c>
      <c r="C997" s="82">
        <v>0</v>
      </c>
      <c r="D997" s="82">
        <v>87045.93</v>
      </c>
      <c r="E997" s="82">
        <v>-87045.93</v>
      </c>
      <c r="F997" s="79" t="s">
        <v>297</v>
      </c>
    </row>
    <row r="998" spans="1:6" x14ac:dyDescent="0.2">
      <c r="A998" s="79" t="s">
        <v>1443</v>
      </c>
      <c r="B998" s="79" t="s">
        <v>1454</v>
      </c>
      <c r="C998" s="82">
        <v>188705.46</v>
      </c>
      <c r="D998" s="82">
        <v>184372.47</v>
      </c>
      <c r="E998" s="82">
        <v>4332.99</v>
      </c>
      <c r="F998" s="79" t="s">
        <v>1200</v>
      </c>
    </row>
    <row r="999" spans="1:6" x14ac:dyDescent="0.2">
      <c r="A999" s="79" t="s">
        <v>1443</v>
      </c>
      <c r="B999" s="79" t="s">
        <v>132</v>
      </c>
      <c r="C999" s="82">
        <v>1534871.69</v>
      </c>
      <c r="D999" s="82">
        <v>1682298.53</v>
      </c>
      <c r="E999" s="82">
        <v>-147426.84</v>
      </c>
      <c r="F999" s="79" t="s">
        <v>289</v>
      </c>
    </row>
    <row r="1000" spans="1:6" x14ac:dyDescent="0.2">
      <c r="A1000" s="79" t="s">
        <v>1455</v>
      </c>
      <c r="B1000" s="79" t="s">
        <v>1456</v>
      </c>
      <c r="C1000" s="82">
        <v>0</v>
      </c>
      <c r="D1000" s="82">
        <v>2665.34</v>
      </c>
      <c r="E1000" s="82">
        <v>-2665.34</v>
      </c>
      <c r="F1000" s="79" t="s">
        <v>297</v>
      </c>
    </row>
    <row r="1001" spans="1:6" x14ac:dyDescent="0.2">
      <c r="A1001" s="79" t="s">
        <v>1455</v>
      </c>
      <c r="B1001" s="79" t="s">
        <v>132</v>
      </c>
      <c r="C1001" s="82">
        <v>0</v>
      </c>
      <c r="D1001" s="82">
        <v>2665.34</v>
      </c>
      <c r="E1001" s="82">
        <v>-2665.34</v>
      </c>
      <c r="F1001" s="79" t="s">
        <v>297</v>
      </c>
    </row>
    <row r="1002" spans="1:6" x14ac:dyDescent="0.2">
      <c r="A1002" s="79" t="s">
        <v>1457</v>
      </c>
      <c r="B1002" s="79" t="s">
        <v>1458</v>
      </c>
      <c r="C1002" s="82">
        <v>141691.57</v>
      </c>
      <c r="D1002" s="82">
        <v>179715</v>
      </c>
      <c r="E1002" s="82">
        <v>-38023.43</v>
      </c>
      <c r="F1002" s="79" t="s">
        <v>1459</v>
      </c>
    </row>
    <row r="1003" spans="1:6" x14ac:dyDescent="0.2">
      <c r="A1003" s="79" t="s">
        <v>1457</v>
      </c>
      <c r="B1003" s="79" t="s">
        <v>1460</v>
      </c>
      <c r="C1003" s="82">
        <v>918009.18</v>
      </c>
      <c r="D1003" s="82">
        <v>270926.59999999998</v>
      </c>
      <c r="E1003" s="82">
        <v>647082.57999999996</v>
      </c>
      <c r="F1003" s="79" t="s">
        <v>1461</v>
      </c>
    </row>
    <row r="1004" spans="1:6" x14ac:dyDescent="0.2">
      <c r="A1004" s="79" t="s">
        <v>1457</v>
      </c>
      <c r="B1004" s="79" t="s">
        <v>132</v>
      </c>
      <c r="C1004" s="82">
        <v>1059700.75</v>
      </c>
      <c r="D1004" s="82">
        <v>450641.6</v>
      </c>
      <c r="E1004" s="82">
        <v>609059.15</v>
      </c>
      <c r="F1004" s="79" t="s">
        <v>1462</v>
      </c>
    </row>
    <row r="1005" spans="1:6" x14ac:dyDescent="0.2">
      <c r="A1005" s="79" t="s">
        <v>1463</v>
      </c>
      <c r="B1005" s="79" t="s">
        <v>1464</v>
      </c>
      <c r="C1005" s="82">
        <v>0</v>
      </c>
      <c r="D1005" s="82">
        <v>-785964.68</v>
      </c>
      <c r="E1005" s="82">
        <v>785964.68</v>
      </c>
      <c r="F1005" s="79" t="s">
        <v>401</v>
      </c>
    </row>
    <row r="1006" spans="1:6" x14ac:dyDescent="0.2">
      <c r="A1006" s="79" t="s">
        <v>1463</v>
      </c>
      <c r="B1006" s="79" t="s">
        <v>1465</v>
      </c>
      <c r="C1006" s="82">
        <v>0</v>
      </c>
      <c r="D1006" s="82">
        <v>-4160206.27</v>
      </c>
      <c r="E1006" s="82">
        <v>4160206.27</v>
      </c>
      <c r="F1006" s="79" t="s">
        <v>401</v>
      </c>
    </row>
    <row r="1007" spans="1:6" x14ac:dyDescent="0.2">
      <c r="A1007" s="79" t="s">
        <v>1463</v>
      </c>
      <c r="B1007" s="79" t="s">
        <v>132</v>
      </c>
      <c r="C1007" s="82">
        <v>0</v>
      </c>
      <c r="D1007" s="82">
        <v>-4946170.95</v>
      </c>
      <c r="E1007" s="82">
        <v>4946170.95</v>
      </c>
      <c r="F1007" s="79" t="s">
        <v>401</v>
      </c>
    </row>
    <row r="1008" spans="1:6" x14ac:dyDescent="0.2">
      <c r="A1008" s="79" t="s">
        <v>1429</v>
      </c>
      <c r="B1008" s="79" t="s">
        <v>1466</v>
      </c>
      <c r="C1008" s="82">
        <v>35082808.600000001</v>
      </c>
      <c r="D1008" s="82">
        <v>32906422.460000001</v>
      </c>
      <c r="E1008" s="82">
        <v>2176386.14</v>
      </c>
      <c r="F1008" s="79" t="s">
        <v>1044</v>
      </c>
    </row>
    <row r="1009" spans="1:6" x14ac:dyDescent="0.2">
      <c r="A1009" s="79" t="s">
        <v>1429</v>
      </c>
      <c r="B1009" s="83" t="s">
        <v>159</v>
      </c>
      <c r="C1009" s="82">
        <v>0</v>
      </c>
      <c r="D1009" s="82">
        <v>0</v>
      </c>
      <c r="E1009" s="82">
        <v>0</v>
      </c>
      <c r="F1009" s="79" t="s">
        <v>132</v>
      </c>
    </row>
    <row r="1010" spans="1:6" x14ac:dyDescent="0.2">
      <c r="A1010" s="79" t="s">
        <v>1386</v>
      </c>
      <c r="B1010" s="79" t="s">
        <v>1387</v>
      </c>
      <c r="C1010" s="82">
        <v>32949780.829999998</v>
      </c>
      <c r="D1010" s="82">
        <v>30614827.920000002</v>
      </c>
      <c r="E1010" s="82">
        <v>2334952.91</v>
      </c>
      <c r="F1010" s="79" t="s">
        <v>1467</v>
      </c>
    </row>
    <row r="1011" spans="1:6" x14ac:dyDescent="0.2">
      <c r="A1011" s="79" t="s">
        <v>1386</v>
      </c>
      <c r="B1011" s="83" t="s">
        <v>256</v>
      </c>
      <c r="C1011" s="82">
        <v>0</v>
      </c>
      <c r="D1011" s="82">
        <v>0</v>
      </c>
      <c r="E1011" s="82">
        <v>0</v>
      </c>
      <c r="F1011" s="79" t="s">
        <v>132</v>
      </c>
    </row>
    <row r="1012" spans="1:6" x14ac:dyDescent="0.2">
      <c r="A1012" s="79" t="s">
        <v>1468</v>
      </c>
      <c r="B1012" s="79" t="s">
        <v>1469</v>
      </c>
      <c r="C1012" s="82">
        <v>0</v>
      </c>
      <c r="D1012" s="82">
        <v>0</v>
      </c>
      <c r="E1012" s="82">
        <v>0</v>
      </c>
      <c r="F1012" s="79" t="s">
        <v>132</v>
      </c>
    </row>
    <row r="1013" spans="1:6" x14ac:dyDescent="0.2">
      <c r="A1013" s="79" t="s">
        <v>1468</v>
      </c>
      <c r="B1013" s="83" t="s">
        <v>309</v>
      </c>
      <c r="C1013" s="82">
        <v>0</v>
      </c>
      <c r="D1013" s="82">
        <v>0</v>
      </c>
      <c r="E1013" s="82">
        <v>0</v>
      </c>
      <c r="F1013" s="79" t="s">
        <v>132</v>
      </c>
    </row>
    <row r="1014" spans="1:6" x14ac:dyDescent="0.2">
      <c r="A1014" s="79" t="s">
        <v>1468</v>
      </c>
      <c r="B1014" s="79" t="s">
        <v>1470</v>
      </c>
      <c r="C1014" s="82">
        <v>1961074</v>
      </c>
      <c r="D1014" s="82">
        <v>1430181</v>
      </c>
      <c r="E1014" s="82">
        <v>530893</v>
      </c>
      <c r="F1014" s="79" t="s">
        <v>1471</v>
      </c>
    </row>
    <row r="1015" spans="1:6" x14ac:dyDescent="0.2">
      <c r="A1015" s="79" t="s">
        <v>1468</v>
      </c>
      <c r="B1015" s="79" t="s">
        <v>1472</v>
      </c>
      <c r="C1015" s="82">
        <v>-94156.2</v>
      </c>
      <c r="D1015" s="82">
        <v>-27212</v>
      </c>
      <c r="E1015" s="82">
        <v>-66944.2</v>
      </c>
      <c r="F1015" s="79" t="s">
        <v>1473</v>
      </c>
    </row>
    <row r="1016" spans="1:6" x14ac:dyDescent="0.2">
      <c r="A1016" s="79" t="s">
        <v>1468</v>
      </c>
      <c r="B1016" s="79" t="s">
        <v>1474</v>
      </c>
      <c r="C1016" s="82">
        <v>982804</v>
      </c>
      <c r="D1016" s="82">
        <v>608443</v>
      </c>
      <c r="E1016" s="82">
        <v>374361</v>
      </c>
      <c r="F1016" s="79" t="s">
        <v>1475</v>
      </c>
    </row>
    <row r="1017" spans="1:6" x14ac:dyDescent="0.2">
      <c r="A1017" s="79" t="s">
        <v>1468</v>
      </c>
      <c r="B1017" s="79" t="s">
        <v>1476</v>
      </c>
      <c r="C1017" s="82">
        <v>18187.099999999999</v>
      </c>
      <c r="D1017" s="82">
        <v>9270.5300000000007</v>
      </c>
      <c r="E1017" s="82">
        <v>8916.57</v>
      </c>
      <c r="F1017" s="79" t="s">
        <v>1477</v>
      </c>
    </row>
    <row r="1018" spans="1:6" x14ac:dyDescent="0.2">
      <c r="A1018" s="79" t="s">
        <v>1468</v>
      </c>
      <c r="B1018" s="79" t="s">
        <v>1478</v>
      </c>
      <c r="C1018" s="82">
        <v>2867908.9</v>
      </c>
      <c r="D1018" s="82">
        <v>2020682.53</v>
      </c>
      <c r="E1018" s="82">
        <v>847226.37</v>
      </c>
      <c r="F1018" s="79" t="s">
        <v>1479</v>
      </c>
    </row>
    <row r="1019" spans="1:6" x14ac:dyDescent="0.2">
      <c r="A1019" s="79" t="s">
        <v>1468</v>
      </c>
      <c r="B1019" s="83" t="s">
        <v>507</v>
      </c>
      <c r="C1019" s="82">
        <v>0</v>
      </c>
      <c r="D1019" s="82">
        <v>0</v>
      </c>
      <c r="E1019" s="82">
        <v>0</v>
      </c>
      <c r="F1019" s="79" t="s">
        <v>132</v>
      </c>
    </row>
    <row r="1020" spans="1:6" x14ac:dyDescent="0.2">
      <c r="A1020" s="79" t="s">
        <v>1480</v>
      </c>
      <c r="B1020" s="79" t="s">
        <v>99</v>
      </c>
      <c r="C1020" s="82">
        <v>-20967216.510000002</v>
      </c>
      <c r="D1020" s="82">
        <v>-15278357.630000001</v>
      </c>
      <c r="E1020" s="82">
        <v>-5688858.8799999999</v>
      </c>
      <c r="F1020" s="79" t="s">
        <v>1481</v>
      </c>
    </row>
    <row r="1021" spans="1:6" x14ac:dyDescent="0.2">
      <c r="A1021" s="79" t="s">
        <v>1480</v>
      </c>
      <c r="B1021" s="83" t="s">
        <v>153</v>
      </c>
      <c r="C1021" s="82">
        <v>0</v>
      </c>
      <c r="D1021" s="82">
        <v>0</v>
      </c>
      <c r="E1021" s="82">
        <v>0</v>
      </c>
      <c r="F1021" s="79" t="s">
        <v>132</v>
      </c>
    </row>
    <row r="1022" spans="1:6" x14ac:dyDescent="0.2">
      <c r="A1022" s="79" t="s">
        <v>1482</v>
      </c>
      <c r="B1022" s="79" t="s">
        <v>1483</v>
      </c>
      <c r="C1022" s="82">
        <v>0</v>
      </c>
      <c r="D1022" s="82">
        <v>0</v>
      </c>
      <c r="E1022" s="82">
        <v>0</v>
      </c>
      <c r="F1022" s="79" t="s">
        <v>132</v>
      </c>
    </row>
    <row r="1023" spans="1:6" x14ac:dyDescent="0.2">
      <c r="A1023" s="79" t="s">
        <v>1482</v>
      </c>
      <c r="B1023" s="83" t="s">
        <v>1484</v>
      </c>
      <c r="C1023" s="82">
        <v>0</v>
      </c>
      <c r="D1023" s="82">
        <v>0</v>
      </c>
      <c r="E1023" s="82">
        <v>0</v>
      </c>
      <c r="F1023" s="79" t="s">
        <v>132</v>
      </c>
    </row>
    <row r="1024" spans="1:6" x14ac:dyDescent="0.2">
      <c r="A1024" s="79" t="s">
        <v>1482</v>
      </c>
      <c r="B1024" s="79" t="s">
        <v>1485</v>
      </c>
      <c r="C1024" s="82">
        <v>500520.36</v>
      </c>
      <c r="D1024" s="82">
        <v>1576176.4</v>
      </c>
      <c r="E1024" s="82">
        <v>-1075656.04</v>
      </c>
      <c r="F1024" s="79" t="s">
        <v>1486</v>
      </c>
    </row>
    <row r="1025" spans="1:6" x14ac:dyDescent="0.2">
      <c r="A1025" s="79" t="s">
        <v>1482</v>
      </c>
      <c r="B1025" s="79" t="s">
        <v>1487</v>
      </c>
      <c r="C1025" s="82">
        <v>105000</v>
      </c>
      <c r="D1025" s="82">
        <v>94000</v>
      </c>
      <c r="E1025" s="82">
        <v>11000</v>
      </c>
      <c r="F1025" s="79" t="s">
        <v>549</v>
      </c>
    </row>
    <row r="1026" spans="1:6" x14ac:dyDescent="0.2">
      <c r="A1026" s="79" t="s">
        <v>1482</v>
      </c>
      <c r="B1026" s="79" t="s">
        <v>1488</v>
      </c>
      <c r="C1026" s="82">
        <v>87254.83</v>
      </c>
      <c r="D1026" s="82">
        <v>0</v>
      </c>
      <c r="E1026" s="82">
        <v>87254.83</v>
      </c>
      <c r="F1026" s="79" t="s">
        <v>132</v>
      </c>
    </row>
    <row r="1027" spans="1:6" x14ac:dyDescent="0.2">
      <c r="A1027" s="79" t="s">
        <v>1482</v>
      </c>
      <c r="B1027" s="79" t="s">
        <v>1489</v>
      </c>
      <c r="C1027" s="82">
        <v>6274.07</v>
      </c>
      <c r="D1027" s="82">
        <v>0</v>
      </c>
      <c r="E1027" s="82">
        <v>6274.07</v>
      </c>
      <c r="F1027" s="79" t="s">
        <v>132</v>
      </c>
    </row>
    <row r="1028" spans="1:6" x14ac:dyDescent="0.2">
      <c r="A1028" s="79" t="s">
        <v>1482</v>
      </c>
      <c r="B1028" s="79" t="s">
        <v>1490</v>
      </c>
      <c r="C1028" s="82">
        <v>21578.1</v>
      </c>
      <c r="D1028" s="82">
        <v>21105.1</v>
      </c>
      <c r="E1028" s="82">
        <v>473</v>
      </c>
      <c r="F1028" s="79" t="s">
        <v>801</v>
      </c>
    </row>
    <row r="1029" spans="1:6" x14ac:dyDescent="0.2">
      <c r="A1029" s="79" t="s">
        <v>1482</v>
      </c>
      <c r="B1029" s="79" t="s">
        <v>1491</v>
      </c>
      <c r="C1029" s="82">
        <v>720627.36</v>
      </c>
      <c r="D1029" s="82">
        <v>1691281.5</v>
      </c>
      <c r="E1029" s="82">
        <v>-970654.14</v>
      </c>
      <c r="F1029" s="79" t="s">
        <v>1492</v>
      </c>
    </row>
    <row r="1030" spans="1:6" x14ac:dyDescent="0.2">
      <c r="A1030" s="79" t="s">
        <v>1482</v>
      </c>
      <c r="B1030" s="83" t="s">
        <v>1493</v>
      </c>
      <c r="C1030" s="82">
        <v>0</v>
      </c>
      <c r="D1030" s="82">
        <v>0</v>
      </c>
      <c r="E1030" s="82">
        <v>0</v>
      </c>
      <c r="F1030" s="79" t="s">
        <v>132</v>
      </c>
    </row>
    <row r="1031" spans="1:6" x14ac:dyDescent="0.2">
      <c r="A1031" s="79" t="s">
        <v>1494</v>
      </c>
      <c r="B1031" s="79" t="s">
        <v>1495</v>
      </c>
      <c r="C1031" s="82">
        <v>-20246589.149999999</v>
      </c>
      <c r="D1031" s="82">
        <v>-13587076.130000001</v>
      </c>
      <c r="E1031" s="82">
        <v>-6659513.0199999996</v>
      </c>
      <c r="F1031" s="79" t="s">
        <v>536</v>
      </c>
    </row>
    <row r="1032" spans="1:6" x14ac:dyDescent="0.2">
      <c r="A1032" s="79" t="s">
        <v>1494</v>
      </c>
      <c r="B1032" s="83" t="s">
        <v>139</v>
      </c>
      <c r="C1032" s="82">
        <v>0</v>
      </c>
      <c r="D1032" s="82">
        <v>0</v>
      </c>
      <c r="E1032" s="82">
        <v>0</v>
      </c>
      <c r="F1032" s="79" t="s">
        <v>132</v>
      </c>
    </row>
    <row r="1033" spans="1:6" x14ac:dyDescent="0.2">
      <c r="A1033" s="79" t="s">
        <v>1496</v>
      </c>
      <c r="B1033" s="79" t="s">
        <v>1497</v>
      </c>
      <c r="C1033" s="82">
        <v>0</v>
      </c>
      <c r="D1033" s="82">
        <v>0</v>
      </c>
      <c r="E1033" s="82">
        <v>0</v>
      </c>
      <c r="F1033" s="79" t="s">
        <v>132</v>
      </c>
    </row>
    <row r="1034" spans="1:6" x14ac:dyDescent="0.2">
      <c r="A1034" s="79" t="s">
        <v>1496</v>
      </c>
      <c r="B1034" s="83" t="s">
        <v>136</v>
      </c>
      <c r="C1034" s="82">
        <v>0</v>
      </c>
      <c r="D1034" s="82">
        <v>0</v>
      </c>
      <c r="E1034" s="82">
        <v>0</v>
      </c>
      <c r="F1034" s="79" t="s">
        <v>132</v>
      </c>
    </row>
    <row r="1035" spans="1:6" x14ac:dyDescent="0.2">
      <c r="A1035" s="79" t="s">
        <v>1498</v>
      </c>
      <c r="B1035" s="79" t="s">
        <v>1499</v>
      </c>
      <c r="C1035" s="82">
        <v>20246589.149999999</v>
      </c>
      <c r="D1035" s="82">
        <v>13587076.130000001</v>
      </c>
      <c r="E1035" s="82">
        <v>6659513.0199999996</v>
      </c>
      <c r="F1035" s="79" t="s">
        <v>1500</v>
      </c>
    </row>
    <row r="1036" spans="1:6" x14ac:dyDescent="0.2">
      <c r="A1036" s="79" t="s">
        <v>1498</v>
      </c>
      <c r="B1036" s="83" t="s">
        <v>153</v>
      </c>
      <c r="C1036" s="82">
        <v>0</v>
      </c>
      <c r="D1036" s="82">
        <v>0</v>
      </c>
      <c r="E1036" s="82">
        <v>0</v>
      </c>
      <c r="F1036" s="79" t="s">
        <v>132</v>
      </c>
    </row>
    <row r="1037" spans="1:6" x14ac:dyDescent="0.2">
      <c r="A1037" s="79" t="s">
        <v>1501</v>
      </c>
      <c r="B1037" s="79" t="s">
        <v>1502</v>
      </c>
      <c r="C1037" s="82">
        <v>0</v>
      </c>
      <c r="D1037" s="82">
        <v>0</v>
      </c>
      <c r="E1037" s="82">
        <v>0</v>
      </c>
      <c r="F1037" s="79" t="s">
        <v>132</v>
      </c>
    </row>
    <row r="1038" spans="1:6" x14ac:dyDescent="0.2">
      <c r="A1038" s="79" t="s">
        <v>1501</v>
      </c>
      <c r="B1038" s="83" t="s">
        <v>570</v>
      </c>
      <c r="C1038" s="82">
        <v>0</v>
      </c>
      <c r="D1038" s="82">
        <v>0</v>
      </c>
      <c r="E1038" s="82">
        <v>0</v>
      </c>
      <c r="F1038" s="79" t="s">
        <v>132</v>
      </c>
    </row>
    <row r="1039" spans="1:6" x14ac:dyDescent="0.2">
      <c r="A1039" s="79" t="s">
        <v>1501</v>
      </c>
      <c r="B1039" s="79" t="s">
        <v>1503</v>
      </c>
      <c r="C1039" s="82">
        <v>42437556.409999996</v>
      </c>
      <c r="D1039" s="82">
        <v>40677442.189999998</v>
      </c>
      <c r="E1039" s="82">
        <v>1760114.22</v>
      </c>
      <c r="F1039" s="79" t="s">
        <v>1504</v>
      </c>
    </row>
    <row r="1040" spans="1:6" x14ac:dyDescent="0.2">
      <c r="A1040" s="79" t="s">
        <v>1501</v>
      </c>
      <c r="B1040" s="79" t="s">
        <v>1505</v>
      </c>
      <c r="C1040" s="82">
        <v>7528402.29</v>
      </c>
      <c r="D1040" s="82">
        <v>7718098.5700000003</v>
      </c>
      <c r="E1040" s="82">
        <v>-189696.28</v>
      </c>
      <c r="F1040" s="79" t="s">
        <v>1106</v>
      </c>
    </row>
    <row r="1041" spans="1:6" x14ac:dyDescent="0.2">
      <c r="A1041" s="79" t="s">
        <v>1501</v>
      </c>
      <c r="B1041" s="79" t="s">
        <v>1506</v>
      </c>
      <c r="C1041" s="82">
        <v>1342</v>
      </c>
      <c r="D1041" s="82">
        <v>1462</v>
      </c>
      <c r="E1041" s="82">
        <v>-120</v>
      </c>
      <c r="F1041" s="79" t="s">
        <v>824</v>
      </c>
    </row>
    <row r="1042" spans="1:6" x14ac:dyDescent="0.2">
      <c r="A1042" s="79" t="s">
        <v>1501</v>
      </c>
      <c r="B1042" s="79" t="s">
        <v>1507</v>
      </c>
      <c r="C1042" s="82">
        <v>9921251.1899999995</v>
      </c>
      <c r="D1042" s="82">
        <v>9408869.8200000003</v>
      </c>
      <c r="E1042" s="82">
        <v>512381.37</v>
      </c>
      <c r="F1042" s="79" t="s">
        <v>1050</v>
      </c>
    </row>
    <row r="1043" spans="1:6" x14ac:dyDescent="0.2">
      <c r="A1043" s="79" t="s">
        <v>1501</v>
      </c>
      <c r="B1043" s="79" t="s">
        <v>1508</v>
      </c>
      <c r="C1043" s="82">
        <v>8480005</v>
      </c>
      <c r="D1043" s="82">
        <v>8796641.8699999992</v>
      </c>
      <c r="E1043" s="82">
        <v>-316636.87</v>
      </c>
      <c r="F1043" s="79" t="s">
        <v>840</v>
      </c>
    </row>
    <row r="1044" spans="1:6" x14ac:dyDescent="0.2">
      <c r="A1044" s="79" t="s">
        <v>1501</v>
      </c>
      <c r="B1044" s="79" t="s">
        <v>1509</v>
      </c>
      <c r="C1044" s="82">
        <v>21037383.27</v>
      </c>
      <c r="D1044" s="82">
        <v>19895191.210000001</v>
      </c>
      <c r="E1044" s="82">
        <v>1142192.06</v>
      </c>
      <c r="F1044" s="79" t="s">
        <v>1510</v>
      </c>
    </row>
    <row r="1045" spans="1:6" x14ac:dyDescent="0.2">
      <c r="A1045" s="79" t="s">
        <v>1501</v>
      </c>
      <c r="B1045" s="79" t="s">
        <v>1511</v>
      </c>
      <c r="C1045" s="82">
        <v>9602548.4100000001</v>
      </c>
      <c r="D1045" s="82">
        <v>9821797.4000000004</v>
      </c>
      <c r="E1045" s="82">
        <v>-219248.99</v>
      </c>
      <c r="F1045" s="79" t="s">
        <v>1512</v>
      </c>
    </row>
    <row r="1046" spans="1:6" x14ac:dyDescent="0.2">
      <c r="A1046" s="79" t="s">
        <v>1501</v>
      </c>
      <c r="B1046" s="79" t="s">
        <v>1513</v>
      </c>
      <c r="C1046" s="82">
        <v>8657597.0199999996</v>
      </c>
      <c r="D1046" s="82">
        <v>7980186.2400000002</v>
      </c>
      <c r="E1046" s="82">
        <v>677410.78</v>
      </c>
      <c r="F1046" s="79" t="s">
        <v>1514</v>
      </c>
    </row>
    <row r="1047" spans="1:6" x14ac:dyDescent="0.2">
      <c r="A1047" s="79" t="s">
        <v>1501</v>
      </c>
      <c r="B1047" s="79" t="s">
        <v>1515</v>
      </c>
      <c r="C1047" s="82">
        <v>5104394</v>
      </c>
      <c r="D1047" s="82">
        <v>5178951.2300000004</v>
      </c>
      <c r="E1047" s="82">
        <v>-74557.23</v>
      </c>
      <c r="F1047" s="79" t="s">
        <v>320</v>
      </c>
    </row>
    <row r="1048" spans="1:6" x14ac:dyDescent="0.2">
      <c r="A1048" s="79" t="s">
        <v>1501</v>
      </c>
      <c r="B1048" s="79" t="s">
        <v>1516</v>
      </c>
      <c r="C1048" s="82">
        <v>1911091.71</v>
      </c>
      <c r="D1048" s="82">
        <v>1595885.61</v>
      </c>
      <c r="E1048" s="82">
        <v>315206.09999999998</v>
      </c>
      <c r="F1048" s="79" t="s">
        <v>1517</v>
      </c>
    </row>
    <row r="1049" spans="1:6" x14ac:dyDescent="0.2">
      <c r="A1049" s="79" t="s">
        <v>1501</v>
      </c>
      <c r="B1049" s="79" t="s">
        <v>1518</v>
      </c>
      <c r="C1049" s="82">
        <v>3938008.18</v>
      </c>
      <c r="D1049" s="82">
        <v>4077914.85</v>
      </c>
      <c r="E1049" s="82">
        <v>-139906.67000000001</v>
      </c>
      <c r="F1049" s="79" t="s">
        <v>1314</v>
      </c>
    </row>
    <row r="1050" spans="1:6" x14ac:dyDescent="0.2">
      <c r="A1050" s="79" t="s">
        <v>1501</v>
      </c>
      <c r="B1050" s="79" t="s">
        <v>1519</v>
      </c>
      <c r="C1050" s="82">
        <v>92952375.280000001</v>
      </c>
      <c r="D1050" s="82">
        <v>90204659.950000003</v>
      </c>
      <c r="E1050" s="82">
        <v>2747715.33</v>
      </c>
      <c r="F1050" s="79" t="s">
        <v>1520</v>
      </c>
    </row>
    <row r="1051" spans="1:6" x14ac:dyDescent="0.2">
      <c r="A1051" s="79" t="s">
        <v>1501</v>
      </c>
      <c r="B1051" s="79" t="s">
        <v>1521</v>
      </c>
      <c r="C1051" s="82">
        <v>2025284.42</v>
      </c>
      <c r="D1051" s="82">
        <v>1672862.96</v>
      </c>
      <c r="E1051" s="82">
        <v>352421.46</v>
      </c>
      <c r="F1051" s="79" t="s">
        <v>1522</v>
      </c>
    </row>
    <row r="1052" spans="1:6" x14ac:dyDescent="0.2">
      <c r="A1052" s="79" t="s">
        <v>1501</v>
      </c>
      <c r="B1052" s="79" t="s">
        <v>1523</v>
      </c>
      <c r="C1052" s="82">
        <v>91334.88</v>
      </c>
      <c r="D1052" s="82">
        <v>17462.57</v>
      </c>
      <c r="E1052" s="82">
        <v>73872.31</v>
      </c>
      <c r="F1052" s="79" t="s">
        <v>1524</v>
      </c>
    </row>
    <row r="1053" spans="1:6" x14ac:dyDescent="0.2">
      <c r="A1053" s="79" t="s">
        <v>1501</v>
      </c>
      <c r="B1053" s="79" t="s">
        <v>1525</v>
      </c>
      <c r="C1053" s="82">
        <v>-37852335.159999996</v>
      </c>
      <c r="D1053" s="82">
        <v>-36694931.140000001</v>
      </c>
      <c r="E1053" s="82">
        <v>-1157404.02</v>
      </c>
      <c r="F1053" s="79" t="s">
        <v>919</v>
      </c>
    </row>
    <row r="1054" spans="1:6" x14ac:dyDescent="0.2">
      <c r="A1054" s="79" t="s">
        <v>1501</v>
      </c>
      <c r="B1054" s="79" t="s">
        <v>1526</v>
      </c>
      <c r="C1054" s="82">
        <v>-175836238.90000001</v>
      </c>
      <c r="D1054" s="82">
        <v>-170352495.33000001</v>
      </c>
      <c r="E1054" s="82">
        <v>-5483743.5700000003</v>
      </c>
      <c r="F1054" s="79" t="s">
        <v>919</v>
      </c>
    </row>
    <row r="1055" spans="1:6" x14ac:dyDescent="0.2">
      <c r="A1055" s="79" t="s">
        <v>1501</v>
      </c>
      <c r="B1055" s="79" t="s">
        <v>1527</v>
      </c>
      <c r="C1055" s="82">
        <v>86720454</v>
      </c>
      <c r="D1055" s="82">
        <v>89673978</v>
      </c>
      <c r="E1055" s="82">
        <v>-2953524</v>
      </c>
      <c r="F1055" s="79" t="s">
        <v>1528</v>
      </c>
    </row>
    <row r="1056" spans="1:6" x14ac:dyDescent="0.2">
      <c r="A1056" s="79" t="s">
        <v>1501</v>
      </c>
      <c r="B1056" s="79" t="s">
        <v>1529</v>
      </c>
      <c r="C1056" s="82">
        <v>43670524.509999998</v>
      </c>
      <c r="D1056" s="82">
        <v>43595464.75</v>
      </c>
      <c r="E1056" s="82">
        <v>75059.759999999995</v>
      </c>
      <c r="F1056" s="79" t="s">
        <v>1530</v>
      </c>
    </row>
    <row r="1057" spans="1:6" x14ac:dyDescent="0.2">
      <c r="A1057" s="79" t="s">
        <v>1501</v>
      </c>
      <c r="B1057" s="79" t="s">
        <v>1531</v>
      </c>
      <c r="C1057" s="82">
        <v>14906.49</v>
      </c>
      <c r="D1057" s="82">
        <v>9534.25</v>
      </c>
      <c r="E1057" s="82">
        <v>5372.24</v>
      </c>
      <c r="F1057" s="79" t="s">
        <v>381</v>
      </c>
    </row>
    <row r="1058" spans="1:6" x14ac:dyDescent="0.2">
      <c r="A1058" s="79" t="s">
        <v>1501</v>
      </c>
      <c r="B1058" s="79" t="s">
        <v>1532</v>
      </c>
      <c r="C1058" s="82">
        <v>10031068</v>
      </c>
      <c r="D1058" s="82">
        <v>9450320</v>
      </c>
      <c r="E1058" s="82">
        <v>580748</v>
      </c>
      <c r="F1058" s="79" t="s">
        <v>1533</v>
      </c>
    </row>
    <row r="1059" spans="1:6" x14ac:dyDescent="0.2">
      <c r="A1059" s="79" t="s">
        <v>1501</v>
      </c>
      <c r="B1059" s="79" t="s">
        <v>1534</v>
      </c>
      <c r="C1059" s="82">
        <v>9629640.4100000001</v>
      </c>
      <c r="D1059" s="82">
        <v>9222189.1899999995</v>
      </c>
      <c r="E1059" s="82">
        <v>407451.22</v>
      </c>
      <c r="F1059" s="79" t="s">
        <v>1535</v>
      </c>
    </row>
    <row r="1060" spans="1:6" x14ac:dyDescent="0.2">
      <c r="A1060" s="79" t="s">
        <v>1501</v>
      </c>
      <c r="B1060" s="79" t="s">
        <v>1536</v>
      </c>
      <c r="C1060" s="82">
        <v>38095.589999999997</v>
      </c>
      <c r="D1060" s="82">
        <v>28323.81</v>
      </c>
      <c r="E1060" s="82">
        <v>9771.7800000000007</v>
      </c>
      <c r="F1060" s="79" t="s">
        <v>1537</v>
      </c>
    </row>
    <row r="1061" spans="1:6" x14ac:dyDescent="0.2">
      <c r="A1061" s="79" t="s">
        <v>1501</v>
      </c>
      <c r="B1061" s="79" t="s">
        <v>1538</v>
      </c>
      <c r="C1061" s="82">
        <v>2164803.58</v>
      </c>
      <c r="D1061" s="82">
        <v>1972401.5</v>
      </c>
      <c r="E1061" s="82">
        <v>192402.08</v>
      </c>
      <c r="F1061" s="79" t="s">
        <v>553</v>
      </c>
    </row>
    <row r="1062" spans="1:6" x14ac:dyDescent="0.2">
      <c r="A1062" s="79" t="s">
        <v>1501</v>
      </c>
      <c r="B1062" s="79" t="s">
        <v>1539</v>
      </c>
      <c r="C1062" s="82">
        <v>22126.42</v>
      </c>
      <c r="D1062" s="82">
        <v>17418.5</v>
      </c>
      <c r="E1062" s="82">
        <v>4707.92</v>
      </c>
      <c r="F1062" s="79" t="s">
        <v>1540</v>
      </c>
    </row>
    <row r="1063" spans="1:6" x14ac:dyDescent="0.2">
      <c r="A1063" s="79" t="s">
        <v>1501</v>
      </c>
      <c r="B1063" s="79" t="s">
        <v>1541</v>
      </c>
      <c r="C1063" s="82">
        <v>491438.86</v>
      </c>
      <c r="D1063" s="82">
        <v>456588.17</v>
      </c>
      <c r="E1063" s="82">
        <v>34850.69</v>
      </c>
      <c r="F1063" s="79" t="s">
        <v>1467</v>
      </c>
    </row>
    <row r="1064" spans="1:6" x14ac:dyDescent="0.2">
      <c r="A1064" s="79" t="s">
        <v>1501</v>
      </c>
      <c r="B1064" s="79" t="s">
        <v>1542</v>
      </c>
      <c r="C1064" s="82">
        <v>13673.14</v>
      </c>
      <c r="D1064" s="82">
        <v>667.83</v>
      </c>
      <c r="E1064" s="82">
        <v>13005.31</v>
      </c>
      <c r="F1064" s="79" t="s">
        <v>1543</v>
      </c>
    </row>
    <row r="1065" spans="1:6" x14ac:dyDescent="0.2">
      <c r="A1065" s="79" t="s">
        <v>1501</v>
      </c>
      <c r="B1065" s="79" t="s">
        <v>1544</v>
      </c>
      <c r="C1065" s="82">
        <v>81863879</v>
      </c>
      <c r="D1065" s="82">
        <v>80863326</v>
      </c>
      <c r="E1065" s="82">
        <v>1000553</v>
      </c>
      <c r="F1065" s="79" t="s">
        <v>217</v>
      </c>
    </row>
    <row r="1066" spans="1:6" x14ac:dyDescent="0.2">
      <c r="A1066" s="79" t="s">
        <v>1501</v>
      </c>
      <c r="B1066" s="79" t="s">
        <v>1545</v>
      </c>
      <c r="C1066" s="82">
        <v>-234660610</v>
      </c>
      <c r="D1066" s="82">
        <v>-235290212</v>
      </c>
      <c r="E1066" s="82">
        <v>629602</v>
      </c>
      <c r="F1066" s="79" t="s">
        <v>582</v>
      </c>
    </row>
    <row r="1067" spans="1:6" x14ac:dyDescent="0.2">
      <c r="A1067" s="79" t="s">
        <v>1501</v>
      </c>
      <c r="B1067" s="79" t="s">
        <v>132</v>
      </c>
      <c r="C1067" s="82">
        <v>0</v>
      </c>
      <c r="D1067" s="82">
        <v>0</v>
      </c>
      <c r="E1067" s="82">
        <v>0</v>
      </c>
      <c r="F1067" s="79" t="s">
        <v>132</v>
      </c>
    </row>
    <row r="1068" spans="1:6" x14ac:dyDescent="0.2">
      <c r="A1068" s="79" t="s">
        <v>1546</v>
      </c>
      <c r="B1068" s="79" t="s">
        <v>132</v>
      </c>
      <c r="C1068" s="82">
        <v>0</v>
      </c>
      <c r="D1068" s="82">
        <v>0</v>
      </c>
      <c r="E1068" s="82">
        <v>0</v>
      </c>
      <c r="F1068" s="79" t="s">
        <v>132</v>
      </c>
    </row>
  </sheetData>
  <pageMargins left="0.70866141732283472" right="0.70866141732283472" top="0.78740157480314965" bottom="0.78740157480314965" header="0.31496062992125984" footer="0.31496062992125984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F9F2-2A11-408A-8D7B-0FAD079D0723}">
  <sheetPr>
    <pageSetUpPr fitToPage="1"/>
  </sheetPr>
  <dimension ref="A1:U99"/>
  <sheetViews>
    <sheetView zoomScaleNormal="100" workbookViewId="0">
      <selection activeCell="G58" sqref="G58"/>
    </sheetView>
  </sheetViews>
  <sheetFormatPr defaultColWidth="11.42578125" defaultRowHeight="12.75" x14ac:dyDescent="0.2"/>
  <cols>
    <col min="1" max="1" width="2.140625" customWidth="1"/>
    <col min="2" max="2" width="5.5703125" customWidth="1"/>
    <col min="3" max="4" width="3.140625" customWidth="1"/>
    <col min="5" max="5" width="66.42578125" bestFit="1" customWidth="1"/>
    <col min="6" max="6" width="17.42578125" bestFit="1" customWidth="1"/>
    <col min="7" max="7" width="18.42578125" customWidth="1"/>
    <col min="8" max="8" width="20.140625" bestFit="1" customWidth="1"/>
    <col min="9" max="9" width="2.140625" customWidth="1"/>
    <col min="10" max="12" width="3.140625" customWidth="1"/>
    <col min="13" max="13" width="55.85546875" customWidth="1"/>
    <col min="14" max="16" width="17.140625" customWidth="1"/>
    <col min="17" max="17" width="16.42578125" bestFit="1" customWidth="1"/>
    <col min="18" max="18" width="18.85546875" customWidth="1"/>
    <col min="19" max="19" width="13.85546875" bestFit="1" customWidth="1"/>
    <col min="20" max="20" width="11.5703125" customWidth="1"/>
    <col min="21" max="21" width="15" bestFit="1" customWidth="1"/>
  </cols>
  <sheetData>
    <row r="1" spans="1:16" s="1" customFormat="1" ht="15" x14ac:dyDescent="0.25">
      <c r="A1" s="5" t="s">
        <v>122</v>
      </c>
      <c r="B1" s="15"/>
      <c r="C1" s="15"/>
      <c r="D1" s="15"/>
      <c r="E1" s="15"/>
      <c r="F1" s="15"/>
      <c r="G1" s="15"/>
      <c r="H1" s="16"/>
      <c r="I1" s="15"/>
      <c r="J1" s="15"/>
      <c r="K1" s="15"/>
      <c r="L1" s="15"/>
      <c r="M1" s="15"/>
      <c r="N1" s="15"/>
      <c r="O1" s="15"/>
      <c r="P1" s="16"/>
    </row>
    <row r="2" spans="1:16" s="1" customFormat="1" ht="6" customHeight="1" x14ac:dyDescent="0.2">
      <c r="H2" s="11"/>
      <c r="P2" s="11"/>
    </row>
    <row r="3" spans="1:16" s="1" customFormat="1" ht="15" x14ac:dyDescent="0.25">
      <c r="A3" s="5"/>
      <c r="B3" s="15"/>
      <c r="C3" s="15"/>
      <c r="D3" s="15"/>
      <c r="E3" s="15"/>
      <c r="F3" s="15"/>
      <c r="G3" s="15"/>
      <c r="H3" s="16"/>
      <c r="I3" s="15"/>
      <c r="J3" s="15"/>
      <c r="K3" s="15"/>
      <c r="L3" s="15"/>
      <c r="M3" s="15"/>
      <c r="N3" s="31">
        <f ca="1">TODAY()</f>
        <v>46297</v>
      </c>
      <c r="O3" s="18"/>
      <c r="P3" s="16"/>
    </row>
    <row r="4" spans="1:16" s="1" customFormat="1" ht="6" customHeight="1" x14ac:dyDescent="0.2">
      <c r="H4" s="11"/>
      <c r="P4" s="11"/>
    </row>
    <row r="5" spans="1:16" s="1" customFormat="1" ht="15" x14ac:dyDescent="0.25">
      <c r="A5" s="5" t="s">
        <v>53</v>
      </c>
      <c r="B5" s="15"/>
      <c r="C5" s="15"/>
      <c r="D5" s="15"/>
      <c r="E5" s="15"/>
      <c r="F5" s="15"/>
      <c r="G5" s="15"/>
      <c r="H5" s="16"/>
      <c r="I5" s="15"/>
      <c r="J5" s="15"/>
      <c r="K5" s="15"/>
      <c r="L5" s="15"/>
      <c r="M5" s="15"/>
      <c r="N5" s="15"/>
      <c r="O5" s="15"/>
      <c r="P5" s="16"/>
    </row>
    <row r="6" spans="1:16" s="1" customFormat="1" ht="14.25" hidden="1" x14ac:dyDescent="0.2">
      <c r="H6" s="11"/>
      <c r="P6" s="11"/>
    </row>
    <row r="7" spans="1:16" s="1" customFormat="1" ht="15" thickBot="1" x14ac:dyDescent="0.25">
      <c r="H7" s="11"/>
      <c r="P7" s="11"/>
    </row>
    <row r="8" spans="1:16" s="1" customFormat="1" ht="6" customHeight="1" x14ac:dyDescent="0.2">
      <c r="A8" s="32"/>
      <c r="B8" s="33"/>
      <c r="C8" s="33"/>
      <c r="D8" s="33"/>
      <c r="E8" s="34"/>
      <c r="F8" s="33"/>
      <c r="G8" s="34"/>
      <c r="H8" s="35"/>
      <c r="I8" s="33"/>
      <c r="J8" s="33"/>
      <c r="K8" s="33"/>
      <c r="L8" s="33"/>
      <c r="M8" s="34"/>
      <c r="N8" s="33"/>
      <c r="O8" s="34"/>
      <c r="P8" s="35"/>
    </row>
    <row r="9" spans="1:16" s="1" customFormat="1" ht="15" customHeight="1" x14ac:dyDescent="0.25">
      <c r="A9" s="36"/>
      <c r="B9" s="2" t="s">
        <v>0</v>
      </c>
      <c r="E9" s="37"/>
      <c r="F9" s="38">
        <v>46022</v>
      </c>
      <c r="G9" s="3"/>
      <c r="H9" s="4">
        <v>45657</v>
      </c>
      <c r="J9" s="10" t="s">
        <v>1</v>
      </c>
      <c r="M9" s="37"/>
      <c r="N9" s="38">
        <v>46022</v>
      </c>
      <c r="O9" s="3"/>
      <c r="P9" s="4">
        <v>45657</v>
      </c>
    </row>
    <row r="10" spans="1:16" s="1" customFormat="1" ht="6" customHeight="1" x14ac:dyDescent="0.25">
      <c r="A10" s="36"/>
      <c r="E10" s="37"/>
      <c r="F10" s="38"/>
      <c r="G10" s="5"/>
      <c r="H10" s="4"/>
      <c r="M10" s="37"/>
      <c r="N10" s="38"/>
      <c r="O10" s="3"/>
      <c r="P10" s="6"/>
    </row>
    <row r="11" spans="1:16" s="1" customFormat="1" ht="15" customHeight="1" x14ac:dyDescent="0.25">
      <c r="A11" s="36"/>
      <c r="E11" s="37"/>
      <c r="F11" s="7" t="s">
        <v>2</v>
      </c>
      <c r="G11" s="39" t="s">
        <v>2</v>
      </c>
      <c r="H11" s="8" t="s">
        <v>2</v>
      </c>
      <c r="M11" s="37"/>
      <c r="N11" s="7" t="s">
        <v>2</v>
      </c>
      <c r="O11" s="9" t="s">
        <v>2</v>
      </c>
      <c r="P11" s="8" t="s">
        <v>2</v>
      </c>
    </row>
    <row r="12" spans="1:16" s="1" customFormat="1" ht="6" customHeight="1" thickBot="1" x14ac:dyDescent="0.25">
      <c r="A12" s="40"/>
      <c r="B12" s="41"/>
      <c r="C12" s="41"/>
      <c r="D12" s="41"/>
      <c r="E12" s="42"/>
      <c r="F12" s="43"/>
      <c r="G12" s="44"/>
      <c r="H12" s="45"/>
      <c r="I12" s="41"/>
      <c r="J12" s="41"/>
      <c r="K12" s="41"/>
      <c r="L12" s="41"/>
      <c r="M12" s="42"/>
      <c r="N12" s="43"/>
      <c r="O12" s="46"/>
      <c r="P12" s="45"/>
    </row>
    <row r="13" spans="1:16" s="1" customFormat="1" ht="6" customHeight="1" x14ac:dyDescent="0.2">
      <c r="A13" s="36"/>
      <c r="E13" s="37"/>
      <c r="F13" s="47"/>
      <c r="G13" s="48"/>
      <c r="H13" s="49"/>
      <c r="M13" s="37"/>
      <c r="N13" s="47"/>
      <c r="O13" s="48"/>
      <c r="P13" s="49"/>
    </row>
    <row r="14" spans="1:16" s="1" customFormat="1" ht="15" customHeight="1" x14ac:dyDescent="0.25">
      <c r="A14" s="36"/>
      <c r="B14" s="2" t="s">
        <v>3</v>
      </c>
      <c r="C14" s="2" t="s">
        <v>4</v>
      </c>
      <c r="E14" s="37"/>
      <c r="F14" s="50"/>
      <c r="G14" s="50"/>
      <c r="H14" s="51"/>
      <c r="J14" s="10" t="s">
        <v>3</v>
      </c>
      <c r="K14" s="10" t="s">
        <v>5</v>
      </c>
      <c r="M14" s="37"/>
      <c r="N14" s="50"/>
      <c r="O14" s="50"/>
      <c r="P14" s="30"/>
    </row>
    <row r="15" spans="1:16" s="1" customFormat="1" ht="15" customHeight="1" x14ac:dyDescent="0.2">
      <c r="A15" s="36"/>
      <c r="E15" s="37"/>
      <c r="F15" s="50"/>
      <c r="G15" s="50"/>
      <c r="H15" s="51"/>
      <c r="M15" s="37"/>
      <c r="N15" s="50"/>
      <c r="O15" s="50"/>
      <c r="P15" s="30"/>
    </row>
    <row r="16" spans="1:16" s="1" customFormat="1" ht="15" customHeight="1" x14ac:dyDescent="0.25">
      <c r="A16" s="36"/>
      <c r="C16" s="10" t="s">
        <v>6</v>
      </c>
      <c r="D16" s="2" t="s">
        <v>7</v>
      </c>
      <c r="E16" s="37"/>
      <c r="F16" s="50"/>
      <c r="G16" s="50"/>
      <c r="H16" s="51"/>
      <c r="K16" s="2" t="s">
        <v>6</v>
      </c>
      <c r="L16" s="10" t="s">
        <v>8</v>
      </c>
      <c r="M16" s="37"/>
      <c r="N16" s="50">
        <f>+'SAP-Auszug'!C294*-1</f>
        <v>25600000</v>
      </c>
      <c r="O16" s="50"/>
      <c r="P16" s="30">
        <f>'SAP-Auszug'!D294*-1</f>
        <v>25600000</v>
      </c>
    </row>
    <row r="17" spans="1:21" s="1" customFormat="1" ht="15" customHeight="1" x14ac:dyDescent="0.25">
      <c r="A17" s="36"/>
      <c r="C17" s="10"/>
      <c r="D17" s="2"/>
      <c r="E17" s="37"/>
      <c r="F17" s="50"/>
      <c r="G17" s="50"/>
      <c r="H17" s="51"/>
      <c r="K17" s="2" t="s">
        <v>9</v>
      </c>
      <c r="L17" s="10" t="s">
        <v>10</v>
      </c>
      <c r="N17" s="52">
        <f>+'SAP-Auszug'!C298*-1</f>
        <v>80582202.950000003</v>
      </c>
      <c r="O17" s="50"/>
      <c r="P17" s="51">
        <f>+'SAP-Auszug'!D298*-1</f>
        <v>80582202.950000003</v>
      </c>
    </row>
    <row r="18" spans="1:21" s="1" customFormat="1" ht="15" customHeight="1" x14ac:dyDescent="0.25">
      <c r="A18" s="36"/>
      <c r="C18" s="10"/>
      <c r="D18" s="53" t="s">
        <v>11</v>
      </c>
      <c r="E18" s="37" t="s">
        <v>100</v>
      </c>
      <c r="F18" s="50"/>
      <c r="G18" s="50"/>
      <c r="H18" s="51"/>
      <c r="K18" s="2" t="s">
        <v>12</v>
      </c>
      <c r="L18" s="10" t="s">
        <v>13</v>
      </c>
      <c r="N18" s="52">
        <f>+'SAP-Auszug'!C304*-1</f>
        <v>1230210.1499999999</v>
      </c>
      <c r="O18" s="50"/>
      <c r="P18" s="51">
        <f>+'SAP-Auszug'!D304*-1</f>
        <v>1230210.1499999999</v>
      </c>
    </row>
    <row r="19" spans="1:21" s="1" customFormat="1" ht="15" customHeight="1" x14ac:dyDescent="0.25">
      <c r="A19" s="36"/>
      <c r="C19" s="10"/>
      <c r="D19" s="53"/>
      <c r="E19" s="37" t="s">
        <v>101</v>
      </c>
      <c r="F19" s="54"/>
      <c r="G19" s="52"/>
      <c r="H19" s="51"/>
      <c r="K19" s="10" t="s">
        <v>14</v>
      </c>
      <c r="L19" s="10" t="s">
        <v>113</v>
      </c>
      <c r="N19" s="52">
        <f>'SAP-Auszug'!C309*-1</f>
        <v>-148922171.22</v>
      </c>
      <c r="O19" s="52"/>
      <c r="P19" s="51">
        <f>'SAP-Auszug'!D309*-1</f>
        <v>-162509247.34999999</v>
      </c>
      <c r="Q19" s="11"/>
      <c r="R19" s="11"/>
    </row>
    <row r="20" spans="1:21" s="1" customFormat="1" ht="15" customHeight="1" x14ac:dyDescent="0.25">
      <c r="A20" s="36"/>
      <c r="E20" s="1" t="s">
        <v>15</v>
      </c>
      <c r="F20" s="52">
        <f>+'SAP-Auszug'!C16</f>
        <v>23331783.940000001</v>
      </c>
      <c r="G20" s="50"/>
      <c r="H20" s="51">
        <f>+'SAP-Auszug'!D16</f>
        <v>24007274.940000001</v>
      </c>
      <c r="K20" s="10" t="s">
        <v>104</v>
      </c>
      <c r="L20" s="10" t="s">
        <v>121</v>
      </c>
      <c r="M20" s="37"/>
      <c r="N20" s="50">
        <f>'SAP-Auszug'!C1031*-1</f>
        <v>20246589.149999999</v>
      </c>
      <c r="O20" s="52"/>
      <c r="P20" s="30">
        <f>'SAP-Auszug'!D1031*-1</f>
        <v>13587076.130000001</v>
      </c>
    </row>
    <row r="21" spans="1:21" s="1" customFormat="1" ht="15" customHeight="1" x14ac:dyDescent="0.25">
      <c r="A21" s="36"/>
      <c r="D21" s="1" t="s">
        <v>107</v>
      </c>
      <c r="E21" s="1" t="s">
        <v>108</v>
      </c>
      <c r="F21" s="55">
        <f>+'SAP-Auszug'!C20</f>
        <v>61500.77</v>
      </c>
      <c r="G21" s="55"/>
      <c r="H21" s="56">
        <f>+'SAP-Auszug'!D20</f>
        <v>90926.55</v>
      </c>
      <c r="K21" s="10" t="s">
        <v>105</v>
      </c>
      <c r="L21" s="10" t="s">
        <v>102</v>
      </c>
      <c r="M21" s="37"/>
      <c r="N21" s="55">
        <f>'SAP-Auszug'!C320*-1</f>
        <v>21263168.969999999</v>
      </c>
      <c r="O21" s="52"/>
      <c r="P21" s="56">
        <f>'SAP-Auszug'!D320*-1</f>
        <v>41509758.119999997</v>
      </c>
    </row>
    <row r="22" spans="1:21" s="1" customFormat="1" ht="15" customHeight="1" x14ac:dyDescent="0.2">
      <c r="A22" s="36"/>
      <c r="F22" s="52"/>
      <c r="G22" s="75">
        <f>F20+F21</f>
        <v>23393284.710000001</v>
      </c>
      <c r="H22" s="57">
        <f>H20+H21</f>
        <v>24098201.490000002</v>
      </c>
      <c r="M22" s="37"/>
      <c r="N22" s="50"/>
      <c r="O22" s="75">
        <f>SUM(N16:N21)</f>
        <v>0</v>
      </c>
      <c r="P22" s="62">
        <f>SUM(P16:P21)</f>
        <v>0</v>
      </c>
    </row>
    <row r="23" spans="1:21" s="1" customFormat="1" ht="15" customHeight="1" x14ac:dyDescent="0.2">
      <c r="A23" s="36"/>
      <c r="F23" s="52"/>
      <c r="G23" s="50"/>
      <c r="H23" s="51"/>
      <c r="M23" s="37"/>
      <c r="N23" s="50"/>
      <c r="O23" s="50"/>
      <c r="P23" s="30"/>
    </row>
    <row r="24" spans="1:21" s="1" customFormat="1" ht="15" customHeight="1" x14ac:dyDescent="0.25">
      <c r="A24" s="36"/>
      <c r="F24" s="52"/>
      <c r="G24" s="50"/>
      <c r="H24" s="51"/>
      <c r="J24" s="58" t="s">
        <v>18</v>
      </c>
      <c r="K24" s="10" t="s">
        <v>23</v>
      </c>
      <c r="M24" s="37"/>
      <c r="N24" s="52"/>
      <c r="O24" s="50"/>
      <c r="P24" s="30"/>
    </row>
    <row r="25" spans="1:21" s="1" customFormat="1" ht="15" customHeight="1" x14ac:dyDescent="0.25">
      <c r="A25" s="36"/>
      <c r="F25" s="52"/>
      <c r="G25" s="50"/>
      <c r="H25" s="51"/>
      <c r="J25" s="58"/>
      <c r="K25" s="10" t="s">
        <v>25</v>
      </c>
      <c r="M25" s="37"/>
      <c r="N25" s="52"/>
      <c r="O25" s="55">
        <f>'SAP-Auszug'!C328*-1</f>
        <v>23175339.079999998</v>
      </c>
      <c r="P25" s="56">
        <f>'SAP-Auszug'!D328*-1</f>
        <v>25680683.440000001</v>
      </c>
    </row>
    <row r="26" spans="1:21" s="1" customFormat="1" ht="15" customHeight="1" x14ac:dyDescent="0.25">
      <c r="A26" s="36"/>
      <c r="C26" s="10" t="s">
        <v>9</v>
      </c>
      <c r="D26" s="2" t="s">
        <v>19</v>
      </c>
      <c r="E26" s="37"/>
      <c r="F26" s="52"/>
      <c r="G26" s="50"/>
      <c r="H26" s="51"/>
      <c r="J26" s="58"/>
      <c r="K26" s="10"/>
      <c r="M26" s="37"/>
      <c r="N26" s="52"/>
      <c r="O26" s="50"/>
      <c r="P26" s="30"/>
    </row>
    <row r="27" spans="1:21" s="1" customFormat="1" ht="15" customHeight="1" x14ac:dyDescent="0.25">
      <c r="A27" s="36"/>
      <c r="C27" s="10"/>
      <c r="D27" s="2"/>
      <c r="E27" s="37"/>
      <c r="F27" s="52"/>
      <c r="G27" s="50"/>
      <c r="H27" s="51"/>
      <c r="J27" s="58"/>
      <c r="K27" s="10"/>
      <c r="M27" s="37"/>
      <c r="N27" s="52"/>
      <c r="O27" s="50"/>
      <c r="P27" s="30"/>
    </row>
    <row r="28" spans="1:21" s="1" customFormat="1" ht="15" customHeight="1" x14ac:dyDescent="0.25">
      <c r="A28" s="36"/>
      <c r="C28" s="10"/>
      <c r="D28" s="53" t="s">
        <v>11</v>
      </c>
      <c r="E28" s="1" t="s">
        <v>20</v>
      </c>
      <c r="F28" s="52"/>
      <c r="G28" s="50"/>
      <c r="H28" s="51"/>
      <c r="J28" s="58" t="s">
        <v>22</v>
      </c>
      <c r="K28" s="10" t="s">
        <v>93</v>
      </c>
      <c r="M28" s="37"/>
      <c r="N28" s="52"/>
      <c r="O28" s="55">
        <f>'SAP-Auszug'!C335*-1</f>
        <v>33330800.449999999</v>
      </c>
      <c r="P28" s="56">
        <f>'SAP-Auszug'!D335*-1</f>
        <v>35405877.25</v>
      </c>
    </row>
    <row r="29" spans="1:21" s="1" customFormat="1" ht="15" customHeight="1" x14ac:dyDescent="0.25">
      <c r="A29" s="36"/>
      <c r="C29" s="10"/>
      <c r="D29" s="53"/>
      <c r="E29" s="1" t="s">
        <v>21</v>
      </c>
      <c r="F29" s="52"/>
      <c r="G29" s="50"/>
      <c r="H29" s="51"/>
      <c r="J29" s="58"/>
      <c r="K29" s="10"/>
      <c r="M29" s="37"/>
      <c r="N29" s="52"/>
      <c r="O29" s="50"/>
      <c r="P29" s="30"/>
    </row>
    <row r="30" spans="1:21" s="1" customFormat="1" ht="15" customHeight="1" x14ac:dyDescent="0.25">
      <c r="A30" s="36"/>
      <c r="C30" s="10"/>
      <c r="D30" s="53"/>
      <c r="E30" s="1" t="s">
        <v>120</v>
      </c>
      <c r="F30" s="52">
        <f>+'SAP-Auszug'!C31</f>
        <v>466619269.50999999</v>
      </c>
      <c r="G30" s="50"/>
      <c r="H30" s="51">
        <f>+'SAP-Auszug'!D31</f>
        <v>493588796.50999999</v>
      </c>
      <c r="J30" s="10"/>
      <c r="K30" s="10"/>
      <c r="M30" s="37"/>
      <c r="N30" s="52"/>
      <c r="O30" s="50"/>
      <c r="P30" s="30"/>
      <c r="U30" s="11"/>
    </row>
    <row r="31" spans="1:21" s="1" customFormat="1" ht="15" customHeight="1" x14ac:dyDescent="0.25">
      <c r="A31" s="36"/>
      <c r="C31" s="10"/>
      <c r="D31" s="53"/>
      <c r="E31" s="1" t="s">
        <v>87</v>
      </c>
      <c r="F31" s="52">
        <f>+'SAP-Auszug'!C34</f>
        <v>15893829.939999999</v>
      </c>
      <c r="G31" s="50"/>
      <c r="H31" s="51">
        <f>+'SAP-Auszug'!D34</f>
        <v>16219074.48</v>
      </c>
      <c r="N31" s="52"/>
      <c r="O31" s="50"/>
      <c r="P31" s="51"/>
      <c r="U31" s="11"/>
    </row>
    <row r="32" spans="1:21" s="1" customFormat="1" ht="15" customHeight="1" x14ac:dyDescent="0.25">
      <c r="A32" s="36"/>
      <c r="C32" s="10"/>
      <c r="D32" s="53"/>
      <c r="E32" s="1" t="s">
        <v>88</v>
      </c>
      <c r="F32" s="52">
        <f>+'SAP-Auszug'!C37</f>
        <v>10069324.970000001</v>
      </c>
      <c r="G32" s="50"/>
      <c r="H32" s="51">
        <f>+'SAP-Auszug'!D37</f>
        <v>10069324.970000001</v>
      </c>
      <c r="J32" s="58" t="s">
        <v>29</v>
      </c>
      <c r="K32" s="10" t="s">
        <v>30</v>
      </c>
      <c r="M32" s="37"/>
      <c r="N32" s="52"/>
      <c r="O32" s="59"/>
      <c r="P32" s="51"/>
      <c r="U32" s="11"/>
    </row>
    <row r="33" spans="1:21" s="1" customFormat="1" ht="15" customHeight="1" x14ac:dyDescent="0.25">
      <c r="A33" s="36"/>
      <c r="C33" s="10"/>
      <c r="D33" s="53"/>
      <c r="E33" s="1" t="s">
        <v>98</v>
      </c>
      <c r="F33" s="52">
        <f>+'SAP-Auszug'!C40</f>
        <v>45422597</v>
      </c>
      <c r="G33" s="50"/>
      <c r="H33" s="51">
        <f>+'SAP-Auszug'!D40</f>
        <v>47633457</v>
      </c>
      <c r="J33" s="58"/>
      <c r="M33" s="37"/>
      <c r="N33" s="52"/>
      <c r="O33" s="59"/>
      <c r="P33" s="51"/>
      <c r="R33" s="21"/>
      <c r="U33" s="11"/>
    </row>
    <row r="34" spans="1:21" s="1" customFormat="1" ht="15" customHeight="1" x14ac:dyDescent="0.25">
      <c r="A34" s="36"/>
      <c r="C34" s="10"/>
      <c r="D34" s="53" t="s">
        <v>16</v>
      </c>
      <c r="E34" s="1" t="s">
        <v>24</v>
      </c>
      <c r="F34" s="52"/>
      <c r="G34" s="50"/>
      <c r="H34" s="51"/>
      <c r="K34" s="1" t="s">
        <v>11</v>
      </c>
      <c r="L34" s="1" t="s">
        <v>31</v>
      </c>
      <c r="M34" s="37"/>
      <c r="N34" s="52">
        <f>'SAP-Auszug'!C344*-1</f>
        <v>6926768</v>
      </c>
      <c r="O34" s="11"/>
      <c r="P34" s="51">
        <f>'SAP-Auszug'!D344*-1</f>
        <v>7642053</v>
      </c>
      <c r="R34" s="21"/>
      <c r="U34" s="11"/>
    </row>
    <row r="35" spans="1:21" s="1" customFormat="1" ht="15" customHeight="1" x14ac:dyDescent="0.25">
      <c r="A35" s="36"/>
      <c r="C35" s="10"/>
      <c r="D35" s="53"/>
      <c r="E35" s="1" t="s">
        <v>89</v>
      </c>
      <c r="F35" s="52">
        <f>+'SAP-Auszug'!C48</f>
        <v>162147137</v>
      </c>
      <c r="G35" s="50"/>
      <c r="H35" s="51">
        <f>+'SAP-Auszug'!D48</f>
        <v>152926183</v>
      </c>
      <c r="J35" s="10"/>
      <c r="K35" s="1" t="s">
        <v>16</v>
      </c>
      <c r="L35" s="1" t="s">
        <v>33</v>
      </c>
      <c r="M35" s="37"/>
      <c r="N35" s="52">
        <f>'SAP-Auszug'!C349*-1</f>
        <v>382170.67</v>
      </c>
      <c r="O35" s="11"/>
      <c r="P35" s="51">
        <f>'SAP-Auszug'!D349*-1</f>
        <v>217165.84</v>
      </c>
      <c r="R35" s="21"/>
      <c r="U35" s="11"/>
    </row>
    <row r="36" spans="1:21" s="1" customFormat="1" ht="15" customHeight="1" x14ac:dyDescent="0.25">
      <c r="A36" s="36"/>
      <c r="C36" s="10"/>
      <c r="D36" s="53"/>
      <c r="E36" s="1" t="s">
        <v>90</v>
      </c>
      <c r="F36" s="52">
        <f>+'SAP-Auszug'!C51</f>
        <v>129041173.58</v>
      </c>
      <c r="G36" s="50"/>
      <c r="H36" s="51">
        <f>+'SAP-Auszug'!D51</f>
        <v>132892699.58</v>
      </c>
      <c r="K36" s="1" t="s">
        <v>17</v>
      </c>
      <c r="L36" s="1" t="s">
        <v>34</v>
      </c>
      <c r="M36" s="37"/>
      <c r="N36" s="55">
        <f>'SAP-Auszug'!C376*-1</f>
        <v>53497136.369999997</v>
      </c>
      <c r="O36" s="59"/>
      <c r="P36" s="56">
        <f>'SAP-Auszug'!D376*-1</f>
        <v>46057308.649999999</v>
      </c>
      <c r="R36" s="21"/>
      <c r="U36" s="11"/>
    </row>
    <row r="37" spans="1:21" s="1" customFormat="1" ht="15" customHeight="1" x14ac:dyDescent="0.25">
      <c r="A37" s="36"/>
      <c r="C37" s="10"/>
      <c r="D37" s="53" t="s">
        <v>17</v>
      </c>
      <c r="E37" s="1" t="s">
        <v>26</v>
      </c>
      <c r="F37" s="52">
        <f>+'SAP-Auszug'!C59</f>
        <v>29725982</v>
      </c>
      <c r="G37" s="50"/>
      <c r="H37" s="51">
        <f>+'SAP-Auszug'!D59</f>
        <v>29227160</v>
      </c>
      <c r="J37" s="58"/>
      <c r="K37" s="10"/>
      <c r="M37" s="37"/>
      <c r="N37" s="52"/>
      <c r="O37" s="75">
        <f>SUM(N34:N36)</f>
        <v>60806075.039999999</v>
      </c>
      <c r="P37" s="57">
        <f>SUM(P34:P36)</f>
        <v>53916527.489999995</v>
      </c>
      <c r="R37" s="22"/>
      <c r="U37" s="11"/>
    </row>
    <row r="38" spans="1:21" s="1" customFormat="1" ht="15" customHeight="1" x14ac:dyDescent="0.25">
      <c r="A38" s="36"/>
      <c r="C38" s="10"/>
      <c r="D38" s="53" t="s">
        <v>27</v>
      </c>
      <c r="E38" s="1" t="s">
        <v>28</v>
      </c>
      <c r="F38" s="55">
        <f>+'SAP-Auszug'!C65</f>
        <v>106692651.45999999</v>
      </c>
      <c r="G38" s="52"/>
      <c r="H38" s="56">
        <f>+'SAP-Auszug'!D65</f>
        <v>71983416.280000001</v>
      </c>
      <c r="M38" s="37"/>
      <c r="N38" s="52"/>
      <c r="O38" s="59"/>
      <c r="P38" s="51"/>
      <c r="R38" s="22"/>
      <c r="U38" s="11"/>
    </row>
    <row r="39" spans="1:21" s="1" customFormat="1" ht="15" customHeight="1" x14ac:dyDescent="0.25">
      <c r="A39" s="36"/>
      <c r="C39" s="10"/>
      <c r="D39" s="53"/>
      <c r="F39" s="60"/>
      <c r="G39" s="75">
        <f>SUM(F30:F38)</f>
        <v>965611965.46000016</v>
      </c>
      <c r="H39" s="57">
        <f>SUM(H30:H38)</f>
        <v>954540111.82000005</v>
      </c>
      <c r="K39" s="53"/>
      <c r="M39" s="37"/>
      <c r="N39" s="52"/>
      <c r="O39" s="59"/>
      <c r="P39" s="51"/>
      <c r="R39" s="22"/>
      <c r="U39" s="11"/>
    </row>
    <row r="40" spans="1:21" s="1" customFormat="1" ht="15" customHeight="1" x14ac:dyDescent="0.25">
      <c r="A40" s="36"/>
      <c r="C40" s="10"/>
      <c r="D40" s="53"/>
      <c r="F40" s="52"/>
      <c r="G40" s="50"/>
      <c r="H40" s="51"/>
      <c r="J40" s="58" t="s">
        <v>37</v>
      </c>
      <c r="K40" s="10" t="s">
        <v>38</v>
      </c>
      <c r="M40" s="37"/>
      <c r="N40" s="52"/>
      <c r="O40" s="59"/>
      <c r="P40" s="51"/>
      <c r="R40" s="22"/>
      <c r="U40" s="11"/>
    </row>
    <row r="41" spans="1:21" s="1" customFormat="1" ht="15" customHeight="1" x14ac:dyDescent="0.25">
      <c r="A41" s="36"/>
      <c r="C41" s="10"/>
      <c r="D41" s="53"/>
      <c r="F41" s="52"/>
      <c r="G41" s="50"/>
      <c r="H41" s="51"/>
      <c r="J41" s="58"/>
      <c r="K41" s="10"/>
      <c r="M41" s="37"/>
      <c r="N41" s="52"/>
      <c r="O41" s="11"/>
      <c r="P41" s="51"/>
      <c r="R41" s="23"/>
      <c r="U41" s="11"/>
    </row>
    <row r="42" spans="1:21" s="1" customFormat="1" ht="15" customHeight="1" x14ac:dyDescent="0.25">
      <c r="A42" s="36"/>
      <c r="C42" s="10" t="s">
        <v>12</v>
      </c>
      <c r="D42" s="2" t="s">
        <v>32</v>
      </c>
      <c r="F42" s="52"/>
      <c r="G42" s="50"/>
      <c r="H42" s="51"/>
      <c r="K42" s="53" t="s">
        <v>11</v>
      </c>
      <c r="L42" s="1" t="s">
        <v>39</v>
      </c>
      <c r="M42" s="37"/>
      <c r="N42" s="52">
        <f>'SAP-Auszug'!C404*-1</f>
        <v>632713344.86000001</v>
      </c>
      <c r="O42" s="59"/>
      <c r="P42" s="51">
        <f>'SAP-Auszug'!D404*-1</f>
        <v>738689320.00999999</v>
      </c>
      <c r="U42" s="11"/>
    </row>
    <row r="43" spans="1:21" s="1" customFormat="1" ht="15" customHeight="1" x14ac:dyDescent="0.25">
      <c r="A43" s="36"/>
      <c r="C43" s="10"/>
      <c r="D43" s="53"/>
      <c r="F43" s="52"/>
      <c r="G43" s="50"/>
      <c r="H43" s="51"/>
      <c r="K43" s="1" t="s">
        <v>107</v>
      </c>
      <c r="L43" s="1" t="s">
        <v>110</v>
      </c>
      <c r="N43" s="52">
        <f>'SAP-Auszug'!C412*-1</f>
        <v>191481172.47999999</v>
      </c>
      <c r="O43" s="54"/>
      <c r="P43" s="51">
        <f>'SAP-Auszug'!D412*-1</f>
        <v>123000000</v>
      </c>
      <c r="U43" s="11"/>
    </row>
    <row r="44" spans="1:21" s="1" customFormat="1" ht="15" customHeight="1" x14ac:dyDescent="0.25">
      <c r="A44" s="36"/>
      <c r="C44" s="10"/>
      <c r="D44" s="53" t="s">
        <v>11</v>
      </c>
      <c r="E44" s="1" t="s">
        <v>91</v>
      </c>
      <c r="F44" s="52">
        <f>+'SAP-Auszug'!C76</f>
        <v>9508547</v>
      </c>
      <c r="G44" s="50"/>
      <c r="H44" s="30">
        <f>+'SAP-Auszug'!D76</f>
        <v>9508547</v>
      </c>
      <c r="J44" s="58"/>
      <c r="K44" s="53" t="s">
        <v>17</v>
      </c>
      <c r="L44" s="1" t="s">
        <v>40</v>
      </c>
      <c r="M44" s="37"/>
      <c r="N44" s="52">
        <f>'SAP-Auszug'!C424*-1</f>
        <v>9933099.0099999998</v>
      </c>
      <c r="O44" s="11"/>
      <c r="P44" s="51">
        <f>'SAP-Auszug'!D424*-1</f>
        <v>9374437.5500000007</v>
      </c>
      <c r="R44" s="11"/>
      <c r="S44" s="11"/>
      <c r="U44" s="11"/>
    </row>
    <row r="45" spans="1:21" s="1" customFormat="1" ht="15" customHeight="1" x14ac:dyDescent="0.25">
      <c r="A45" s="36"/>
      <c r="C45" s="10"/>
      <c r="D45" s="53" t="s">
        <v>16</v>
      </c>
      <c r="E45" s="1" t="s">
        <v>35</v>
      </c>
      <c r="F45" s="52">
        <f>+'SAP-Auszug'!C82</f>
        <v>2369737.7200000002</v>
      </c>
      <c r="G45" s="52"/>
      <c r="H45" s="30">
        <f>+'SAP-Auszug'!D82</f>
        <v>2369737.7200000002</v>
      </c>
      <c r="K45" s="1" t="s">
        <v>27</v>
      </c>
      <c r="L45" s="1" t="s">
        <v>103</v>
      </c>
      <c r="M45" s="37"/>
      <c r="N45" s="52">
        <f>'SAP-Auszug'!C434*-1</f>
        <v>130520777.26000001</v>
      </c>
      <c r="O45" s="11"/>
      <c r="P45" s="51">
        <f>'SAP-Auszug'!D434*-1</f>
        <v>123369884.58</v>
      </c>
      <c r="R45" s="11"/>
      <c r="S45" s="11"/>
    </row>
    <row r="46" spans="1:21" s="1" customFormat="1" ht="15" customHeight="1" x14ac:dyDescent="0.25">
      <c r="A46" s="36"/>
      <c r="C46" s="10"/>
      <c r="D46" s="53" t="s">
        <v>17</v>
      </c>
      <c r="E46" s="1" t="s">
        <v>114</v>
      </c>
      <c r="F46" s="52"/>
      <c r="G46" s="52"/>
      <c r="H46" s="30"/>
      <c r="K46" s="1" t="s">
        <v>58</v>
      </c>
      <c r="L46" s="1" t="s">
        <v>94</v>
      </c>
      <c r="M46" s="37"/>
      <c r="N46" s="52">
        <f>'SAP-Auszug'!C447*-1</f>
        <v>4483686.62</v>
      </c>
      <c r="O46" s="11"/>
      <c r="P46" s="51">
        <f>'SAP-Auszug'!D447*-1</f>
        <v>2681406.39</v>
      </c>
      <c r="R46" s="11"/>
      <c r="S46" s="11"/>
      <c r="U46" s="11"/>
    </row>
    <row r="47" spans="1:21" s="1" customFormat="1" ht="15" customHeight="1" x14ac:dyDescent="0.25">
      <c r="A47" s="36"/>
      <c r="C47" s="10"/>
      <c r="D47" s="53"/>
      <c r="E47" s="1" t="s">
        <v>115</v>
      </c>
      <c r="F47" s="52">
        <f>+'SAP-Auszug'!C91</f>
        <v>251000</v>
      </c>
      <c r="G47" s="52"/>
      <c r="H47" s="30">
        <f>+'SAP-Auszug'!D91</f>
        <v>878500</v>
      </c>
      <c r="K47" s="1" t="s">
        <v>84</v>
      </c>
      <c r="L47" s="1" t="s">
        <v>96</v>
      </c>
      <c r="M47" s="37"/>
      <c r="N47" s="52"/>
      <c r="O47" s="59"/>
      <c r="P47" s="51"/>
      <c r="R47" s="11"/>
      <c r="S47" s="11"/>
      <c r="U47" s="11"/>
    </row>
    <row r="48" spans="1:21" s="1" customFormat="1" ht="15" customHeight="1" x14ac:dyDescent="0.25">
      <c r="A48" s="36"/>
      <c r="C48" s="10"/>
      <c r="D48" s="53" t="s">
        <v>116</v>
      </c>
      <c r="E48" s="1" t="s">
        <v>36</v>
      </c>
      <c r="F48" s="55">
        <f>+'SAP-Auszug'!C97</f>
        <v>2191.2399999999998</v>
      </c>
      <c r="G48" s="52"/>
      <c r="H48" s="61">
        <f>+'SAP-Auszug'!D97</f>
        <v>3960.83</v>
      </c>
      <c r="L48" s="1" t="s">
        <v>95</v>
      </c>
      <c r="M48" s="37"/>
      <c r="N48" s="52">
        <f>'SAP-Auszug'!C456*-1</f>
        <v>1627465.68</v>
      </c>
      <c r="O48" s="59"/>
      <c r="P48" s="51">
        <f>'SAP-Auszug'!D456*-1</f>
        <v>2591912.14</v>
      </c>
      <c r="R48" s="11"/>
      <c r="S48" s="11"/>
      <c r="U48" s="11"/>
    </row>
    <row r="49" spans="1:21" s="1" customFormat="1" ht="15" customHeight="1" x14ac:dyDescent="0.25">
      <c r="A49" s="36"/>
      <c r="C49" s="10"/>
      <c r="D49" s="53"/>
      <c r="F49" s="52"/>
      <c r="G49" s="75">
        <f>SUM(F44:F48)</f>
        <v>12131475.960000001</v>
      </c>
      <c r="H49" s="62">
        <f>SUM(H44:H48)</f>
        <v>12760745.550000001</v>
      </c>
      <c r="K49" s="1" t="s">
        <v>66</v>
      </c>
      <c r="L49" s="1" t="s">
        <v>42</v>
      </c>
      <c r="M49" s="37"/>
      <c r="N49" s="55">
        <f>'SAP-Auszug'!C505*-1</f>
        <v>23022958.899999999</v>
      </c>
      <c r="O49" s="11"/>
      <c r="P49" s="56">
        <f>'SAP-Auszug'!D505*-1</f>
        <v>19607182.489999998</v>
      </c>
      <c r="S49" s="11"/>
      <c r="U49" s="11"/>
    </row>
    <row r="50" spans="1:21" s="1" customFormat="1" ht="15" customHeight="1" x14ac:dyDescent="0.25">
      <c r="A50" s="36"/>
      <c r="D50" s="53"/>
      <c r="F50" s="12"/>
      <c r="G50" s="12"/>
      <c r="H50" s="28"/>
      <c r="J50" s="58"/>
      <c r="N50" s="60"/>
      <c r="O50" s="75">
        <f>SUM(N42:N49)</f>
        <v>993782504.80999994</v>
      </c>
      <c r="P50" s="62">
        <f>SUM(P42:P49)</f>
        <v>1019314143.16</v>
      </c>
      <c r="U50" s="11"/>
    </row>
    <row r="51" spans="1:21" s="1" customFormat="1" ht="15" customHeight="1" x14ac:dyDescent="0.25">
      <c r="A51" s="36"/>
      <c r="F51" s="12"/>
      <c r="G51" s="76">
        <f>G22+G39+G49</f>
        <v>1001136726.1300002</v>
      </c>
      <c r="H51" s="77">
        <f>H49+H39+H22</f>
        <v>991399058.86000001</v>
      </c>
      <c r="J51" s="58"/>
      <c r="N51" s="54"/>
      <c r="O51" s="54"/>
      <c r="P51" s="63"/>
      <c r="Q51" s="14"/>
      <c r="U51" s="11"/>
    </row>
    <row r="52" spans="1:21" s="1" customFormat="1" ht="15" customHeight="1" x14ac:dyDescent="0.25">
      <c r="A52" s="36"/>
      <c r="E52" s="37"/>
      <c r="F52" s="64"/>
      <c r="G52" s="12"/>
      <c r="H52" s="13"/>
      <c r="J52" s="58"/>
      <c r="N52" s="54"/>
      <c r="O52" s="52"/>
      <c r="P52" s="63"/>
    </row>
    <row r="53" spans="1:21" s="1" customFormat="1" ht="15" customHeight="1" x14ac:dyDescent="0.2">
      <c r="A53" s="36"/>
      <c r="E53" s="37"/>
      <c r="F53" s="64"/>
      <c r="G53" s="12"/>
      <c r="H53" s="13"/>
      <c r="N53" s="52"/>
      <c r="O53" s="52"/>
      <c r="P53" s="30"/>
    </row>
    <row r="54" spans="1:21" s="1" customFormat="1" ht="15" customHeight="1" x14ac:dyDescent="0.25">
      <c r="A54" s="36"/>
      <c r="B54" s="2" t="s">
        <v>18</v>
      </c>
      <c r="C54" s="10" t="s">
        <v>41</v>
      </c>
      <c r="E54" s="37"/>
      <c r="F54" s="11"/>
      <c r="G54" s="52"/>
      <c r="H54" s="51"/>
      <c r="J54" s="58"/>
      <c r="N54" s="54"/>
      <c r="O54" s="54"/>
      <c r="P54" s="63"/>
    </row>
    <row r="55" spans="1:21" s="1" customFormat="1" ht="15" customHeight="1" x14ac:dyDescent="0.25">
      <c r="A55" s="36"/>
      <c r="E55" s="37"/>
      <c r="F55" s="50"/>
      <c r="G55" s="52"/>
      <c r="H55" s="51"/>
      <c r="J55" s="58" t="s">
        <v>46</v>
      </c>
      <c r="K55" s="10" t="s">
        <v>47</v>
      </c>
      <c r="L55" s="65"/>
      <c r="N55" s="52"/>
      <c r="O55" s="55">
        <f>'SAP-Auszug'!C512*-1</f>
        <v>3778372.64</v>
      </c>
      <c r="P55" s="56">
        <f>'SAP-Auszug'!D512*-1</f>
        <v>2911313.01</v>
      </c>
    </row>
    <row r="56" spans="1:21" s="1" customFormat="1" ht="15" customHeight="1" x14ac:dyDescent="0.25">
      <c r="A56" s="36"/>
      <c r="C56" s="10" t="s">
        <v>6</v>
      </c>
      <c r="D56" s="10" t="s">
        <v>43</v>
      </c>
      <c r="E56" s="37"/>
      <c r="F56" s="50"/>
      <c r="G56" s="52"/>
      <c r="H56" s="66"/>
      <c r="I56" s="36"/>
      <c r="J56" s="58"/>
      <c r="N56" s="54"/>
      <c r="O56" s="37"/>
      <c r="P56" s="63"/>
    </row>
    <row r="57" spans="1:21" s="1" customFormat="1" ht="15" customHeight="1" x14ac:dyDescent="0.25">
      <c r="A57" s="36"/>
      <c r="E57" s="37"/>
      <c r="F57" s="50"/>
      <c r="G57" s="52"/>
      <c r="H57" s="66"/>
      <c r="I57" s="36"/>
      <c r="J57" s="58"/>
      <c r="N57" s="54"/>
      <c r="O57" s="54"/>
      <c r="P57" s="63"/>
    </row>
    <row r="58" spans="1:21" s="1" customFormat="1" ht="15" customHeight="1" x14ac:dyDescent="0.25">
      <c r="A58" s="36"/>
      <c r="D58" s="1" t="s">
        <v>11</v>
      </c>
      <c r="E58" s="37" t="s">
        <v>44</v>
      </c>
      <c r="F58" s="50"/>
      <c r="G58" s="55">
        <f>+'SAP-Auszug'!C131</f>
        <v>4842319.58</v>
      </c>
      <c r="H58" s="56">
        <f>+'SAP-Auszug'!D131</f>
        <v>4612055.72</v>
      </c>
      <c r="I58" s="36"/>
      <c r="J58" s="58"/>
      <c r="N58" s="52"/>
      <c r="O58" s="52"/>
      <c r="P58" s="30"/>
    </row>
    <row r="59" spans="1:21" s="1" customFormat="1" ht="15" customHeight="1" x14ac:dyDescent="0.25">
      <c r="A59" s="36"/>
      <c r="E59" s="37"/>
      <c r="F59" s="50"/>
      <c r="G59" s="52"/>
      <c r="H59" s="66"/>
      <c r="I59" s="36"/>
      <c r="J59" s="58"/>
      <c r="L59" s="65"/>
      <c r="N59" s="67"/>
      <c r="O59" s="52"/>
      <c r="P59" s="68"/>
    </row>
    <row r="60" spans="1:21" s="1" customFormat="1" ht="15" customHeight="1" x14ac:dyDescent="0.2">
      <c r="A60" s="36"/>
      <c r="E60" s="37"/>
      <c r="F60" s="50"/>
      <c r="G60" s="52"/>
      <c r="H60" s="66"/>
      <c r="I60" s="36"/>
      <c r="N60" s="54"/>
      <c r="O60" s="54"/>
      <c r="P60" s="63"/>
    </row>
    <row r="61" spans="1:21" s="1" customFormat="1" ht="15" customHeight="1" x14ac:dyDescent="0.25">
      <c r="A61" s="36"/>
      <c r="C61" s="2" t="s">
        <v>9</v>
      </c>
      <c r="D61" s="10" t="s">
        <v>45</v>
      </c>
      <c r="E61" s="37"/>
      <c r="F61" s="52"/>
      <c r="G61" s="52"/>
      <c r="H61" s="51"/>
      <c r="K61" s="10"/>
      <c r="L61" s="65"/>
      <c r="N61" s="52"/>
      <c r="O61" s="52"/>
      <c r="P61" s="30"/>
    </row>
    <row r="62" spans="1:21" s="1" customFormat="1" ht="15" customHeight="1" x14ac:dyDescent="0.25">
      <c r="A62" s="36"/>
      <c r="C62" s="2"/>
      <c r="D62" s="10"/>
      <c r="E62" s="37"/>
      <c r="F62" s="52"/>
      <c r="G62" s="52"/>
      <c r="H62" s="51"/>
      <c r="N62" s="52"/>
      <c r="O62" s="52"/>
      <c r="P62" s="30"/>
    </row>
    <row r="63" spans="1:21" s="1" customFormat="1" ht="15" customHeight="1" x14ac:dyDescent="0.2">
      <c r="A63" s="36"/>
      <c r="D63" s="1" t="s">
        <v>11</v>
      </c>
      <c r="E63" s="1" t="s">
        <v>48</v>
      </c>
      <c r="F63" s="52">
        <f>+'SAP-Auszug'!C157</f>
        <v>25047147.879999999</v>
      </c>
      <c r="G63" s="52"/>
      <c r="H63" s="51">
        <f>+'SAP-Auszug'!D157</f>
        <v>20029047.239999998</v>
      </c>
      <c r="N63" s="52"/>
      <c r="O63" s="52"/>
      <c r="P63" s="30"/>
    </row>
    <row r="64" spans="1:21" s="1" customFormat="1" ht="15" customHeight="1" x14ac:dyDescent="0.25">
      <c r="A64" s="36"/>
      <c r="D64" s="1" t="s">
        <v>16</v>
      </c>
      <c r="E64" s="1" t="s">
        <v>92</v>
      </c>
      <c r="F64" s="52">
        <f>+'SAP-Auszug'!C184</f>
        <v>12770377.26</v>
      </c>
      <c r="G64" s="52"/>
      <c r="H64" s="51">
        <f>+'SAP-Auszug'!D184</f>
        <v>17322527.43</v>
      </c>
      <c r="K64" s="10"/>
      <c r="L64" s="65"/>
      <c r="N64" s="52"/>
      <c r="O64" s="52"/>
      <c r="P64" s="30"/>
    </row>
    <row r="65" spans="1:16" s="1" customFormat="1" ht="15" customHeight="1" x14ac:dyDescent="0.25">
      <c r="A65" s="36"/>
      <c r="C65" s="53"/>
      <c r="D65" s="1" t="s">
        <v>49</v>
      </c>
      <c r="E65" s="1" t="s">
        <v>97</v>
      </c>
      <c r="F65" s="52"/>
      <c r="G65" s="52"/>
      <c r="H65" s="51"/>
      <c r="J65" s="10"/>
      <c r="K65" s="53"/>
      <c r="L65" s="65"/>
      <c r="N65" s="52"/>
      <c r="O65" s="50"/>
      <c r="P65" s="51"/>
    </row>
    <row r="66" spans="1:16" s="1" customFormat="1" ht="15" customHeight="1" x14ac:dyDescent="0.25">
      <c r="A66" s="36"/>
      <c r="C66" s="53"/>
      <c r="E66" s="1" t="s">
        <v>95</v>
      </c>
      <c r="F66" s="52">
        <f>+'SAP-Auszug'!C195</f>
        <v>120513.71</v>
      </c>
      <c r="G66" s="52"/>
      <c r="H66" s="51">
        <f>+'SAP-Auszug'!D195</f>
        <v>53931.72</v>
      </c>
      <c r="J66" s="10"/>
      <c r="N66" s="52"/>
      <c r="O66" s="50"/>
      <c r="P66" s="51"/>
    </row>
    <row r="67" spans="1:16" s="1" customFormat="1" ht="15" customHeight="1" x14ac:dyDescent="0.25">
      <c r="A67" s="36"/>
      <c r="C67" s="53"/>
      <c r="D67" s="1" t="s">
        <v>27</v>
      </c>
      <c r="E67" s="1" t="s">
        <v>50</v>
      </c>
      <c r="F67" s="55">
        <f>+'SAP-Auszug'!C221</f>
        <v>2740346.23</v>
      </c>
      <c r="G67" s="52"/>
      <c r="H67" s="69">
        <f>+'SAP-Auszug'!D221</f>
        <v>2229903.7599999998</v>
      </c>
      <c r="I67" s="36"/>
      <c r="J67" s="10"/>
      <c r="L67" s="65"/>
      <c r="M67" s="37"/>
      <c r="N67" s="52"/>
      <c r="O67" s="50"/>
      <c r="P67" s="51"/>
    </row>
    <row r="68" spans="1:16" s="1" customFormat="1" ht="15" customHeight="1" x14ac:dyDescent="0.25">
      <c r="A68" s="36"/>
      <c r="C68" s="53"/>
      <c r="E68" s="37"/>
      <c r="F68" s="52"/>
      <c r="G68" s="75">
        <f>SUM(F63:F67)</f>
        <v>40678385.079999998</v>
      </c>
      <c r="H68" s="70">
        <f>SUM(H63:H67)</f>
        <v>39635410.149999999</v>
      </c>
      <c r="I68" s="36"/>
      <c r="J68" s="10"/>
      <c r="M68" s="37"/>
      <c r="N68" s="52"/>
      <c r="O68" s="50"/>
      <c r="P68" s="51"/>
    </row>
    <row r="69" spans="1:16" s="1" customFormat="1" ht="15" customHeight="1" x14ac:dyDescent="0.25">
      <c r="A69" s="36"/>
      <c r="C69" s="53"/>
      <c r="E69" s="37"/>
      <c r="F69" s="52"/>
      <c r="H69" s="66"/>
      <c r="I69" s="36"/>
      <c r="J69" s="10"/>
      <c r="M69" s="37"/>
      <c r="N69" s="50"/>
      <c r="O69" s="50"/>
      <c r="P69" s="30"/>
    </row>
    <row r="70" spans="1:16" s="1" customFormat="1" ht="15" customHeight="1" x14ac:dyDescent="0.25">
      <c r="A70" s="36"/>
      <c r="C70" s="10" t="s">
        <v>12</v>
      </c>
      <c r="D70" s="10" t="s">
        <v>51</v>
      </c>
      <c r="E70" s="37"/>
      <c r="F70" s="52"/>
      <c r="G70" s="55">
        <f>+'SAP-Auszug'!C264</f>
        <v>45073930.200000003</v>
      </c>
      <c r="H70" s="56">
        <f>+'SAP-Auszug'!D264</f>
        <v>56824308.130000003</v>
      </c>
      <c r="I70" s="36"/>
      <c r="J70" s="10"/>
      <c r="M70" s="37"/>
      <c r="N70" s="50"/>
      <c r="O70" s="50"/>
      <c r="P70" s="30"/>
    </row>
    <row r="71" spans="1:16" s="1" customFormat="1" ht="15" customHeight="1" x14ac:dyDescent="0.25">
      <c r="A71" s="36"/>
      <c r="C71" s="10"/>
      <c r="D71" s="10"/>
      <c r="E71" s="37"/>
      <c r="F71" s="52"/>
      <c r="G71" s="11"/>
      <c r="H71" s="66"/>
      <c r="I71" s="36"/>
      <c r="J71" s="10"/>
      <c r="M71" s="71"/>
      <c r="N71" s="50"/>
      <c r="O71" s="50"/>
      <c r="P71" s="30"/>
    </row>
    <row r="72" spans="1:16" s="1" customFormat="1" ht="15" customHeight="1" x14ac:dyDescent="0.25">
      <c r="A72" s="36"/>
      <c r="E72" s="37"/>
      <c r="F72" s="52"/>
      <c r="G72" s="75">
        <f>G58+G68+G70</f>
        <v>90594634.859999999</v>
      </c>
      <c r="H72" s="57">
        <f>H70+H68+H58</f>
        <v>101071774</v>
      </c>
      <c r="I72" s="36"/>
      <c r="J72" s="10"/>
      <c r="K72" s="2"/>
      <c r="M72" s="71"/>
      <c r="N72" s="50"/>
      <c r="O72" s="50"/>
      <c r="P72" s="30"/>
    </row>
    <row r="73" spans="1:16" s="1" customFormat="1" ht="15" customHeight="1" x14ac:dyDescent="0.25">
      <c r="A73" s="36"/>
      <c r="B73" s="10"/>
      <c r="C73" s="10"/>
      <c r="E73" s="37"/>
      <c r="F73" s="52"/>
      <c r="G73" s="11"/>
      <c r="H73" s="66"/>
      <c r="I73" s="36"/>
      <c r="J73" s="10"/>
      <c r="K73" s="2"/>
      <c r="M73" s="71"/>
      <c r="N73" s="50"/>
      <c r="O73" s="50"/>
      <c r="P73" s="30"/>
    </row>
    <row r="74" spans="1:16" s="1" customFormat="1" ht="15" customHeight="1" x14ac:dyDescent="0.25">
      <c r="A74" s="36"/>
      <c r="B74" s="10" t="s">
        <v>22</v>
      </c>
      <c r="C74" s="10" t="s">
        <v>47</v>
      </c>
      <c r="E74" s="37"/>
      <c r="F74" s="52"/>
      <c r="G74" s="55">
        <f>+'SAP-Auszug'!C275</f>
        <v>1283956.82</v>
      </c>
      <c r="H74" s="56">
        <f>+'SAP-Auszug'!D275</f>
        <v>1670783.48</v>
      </c>
      <c r="I74" s="36"/>
      <c r="J74" s="10"/>
      <c r="K74" s="2"/>
      <c r="M74" s="71"/>
      <c r="N74" s="50"/>
      <c r="O74" s="50"/>
      <c r="P74" s="30"/>
    </row>
    <row r="75" spans="1:16" s="1" customFormat="1" ht="15" customHeight="1" x14ac:dyDescent="0.25">
      <c r="A75" s="36"/>
      <c r="B75" s="10"/>
      <c r="C75" s="10"/>
      <c r="E75" s="37"/>
      <c r="F75" s="52"/>
      <c r="G75" s="66"/>
      <c r="H75" s="66"/>
      <c r="I75" s="36"/>
      <c r="J75" s="10"/>
      <c r="K75" s="2"/>
      <c r="M75" s="71"/>
      <c r="N75" s="50"/>
      <c r="O75" s="50"/>
      <c r="P75" s="30"/>
    </row>
    <row r="76" spans="1:16" s="1" customFormat="1" ht="15" customHeight="1" x14ac:dyDescent="0.25">
      <c r="A76" s="36"/>
      <c r="B76" s="10"/>
      <c r="C76" s="10"/>
      <c r="E76" s="37"/>
      <c r="F76" s="52"/>
      <c r="G76" s="52"/>
      <c r="H76" s="11"/>
      <c r="I76" s="36"/>
      <c r="J76" s="10"/>
      <c r="K76" s="2"/>
      <c r="M76" s="71"/>
      <c r="N76" s="50"/>
      <c r="O76" s="50"/>
      <c r="P76" s="30"/>
    </row>
    <row r="77" spans="1:16" s="1" customFormat="1" ht="15" customHeight="1" x14ac:dyDescent="0.25">
      <c r="A77" s="36"/>
      <c r="B77" s="10" t="s">
        <v>29</v>
      </c>
      <c r="C77" s="10" t="s">
        <v>111</v>
      </c>
      <c r="E77" s="37"/>
      <c r="F77" s="52"/>
      <c r="G77" s="54"/>
      <c r="I77" s="36"/>
      <c r="J77" s="10"/>
      <c r="K77" s="2"/>
      <c r="M77" s="71"/>
      <c r="N77" s="50"/>
      <c r="O77" s="50"/>
      <c r="P77" s="30"/>
    </row>
    <row r="78" spans="1:16" s="1" customFormat="1" ht="15" customHeight="1" x14ac:dyDescent="0.25">
      <c r="A78" s="36"/>
      <c r="B78" s="10"/>
      <c r="C78" s="10" t="s">
        <v>112</v>
      </c>
      <c r="E78" s="37"/>
      <c r="F78" s="52"/>
      <c r="G78" s="55">
        <f>+'SAP-Auszug'!C280</f>
        <v>594605.24</v>
      </c>
      <c r="H78" s="56">
        <f>+'SAP-Auszug'!D280</f>
        <v>1577169.89</v>
      </c>
      <c r="I78" s="36"/>
      <c r="J78" s="10"/>
      <c r="K78" s="2"/>
      <c r="M78" s="71"/>
      <c r="N78" s="50"/>
      <c r="O78" s="50"/>
      <c r="P78" s="30"/>
    </row>
    <row r="79" spans="1:16" s="1" customFormat="1" ht="15" customHeight="1" x14ac:dyDescent="0.25">
      <c r="A79" s="36"/>
      <c r="B79" s="10"/>
      <c r="C79" s="10"/>
      <c r="E79" s="37"/>
      <c r="F79" s="52"/>
      <c r="G79" s="66"/>
      <c r="H79" s="66"/>
      <c r="I79" s="36"/>
      <c r="J79" s="10"/>
      <c r="K79" s="2"/>
      <c r="M79" s="71"/>
      <c r="N79" s="50"/>
      <c r="O79" s="50"/>
      <c r="P79" s="30"/>
    </row>
    <row r="80" spans="1:16" s="1" customFormat="1" ht="15" customHeight="1" x14ac:dyDescent="0.25">
      <c r="A80" s="36"/>
      <c r="B80" s="10"/>
      <c r="C80" s="10"/>
      <c r="E80" s="37"/>
      <c r="F80" s="52"/>
      <c r="G80" s="66"/>
      <c r="H80" s="66"/>
      <c r="I80" s="36"/>
      <c r="J80" s="10"/>
      <c r="K80" s="2"/>
      <c r="M80" s="71"/>
      <c r="N80" s="50"/>
      <c r="O80" s="50"/>
      <c r="P80" s="30"/>
    </row>
    <row r="81" spans="1:16" s="1" customFormat="1" ht="15" customHeight="1" x14ac:dyDescent="0.25">
      <c r="A81" s="36"/>
      <c r="B81" s="10" t="s">
        <v>109</v>
      </c>
      <c r="C81" s="10" t="s">
        <v>106</v>
      </c>
      <c r="E81" s="37"/>
      <c r="F81" s="52"/>
      <c r="G81" s="69">
        <f>+'SAP-Auszug'!C284</f>
        <v>21263168.969999999</v>
      </c>
      <c r="H81" s="56">
        <f>+'SAP-Auszug'!D284</f>
        <v>41509758.119999997</v>
      </c>
      <c r="I81" s="36"/>
      <c r="J81" s="10"/>
      <c r="K81" s="2"/>
      <c r="M81" s="71"/>
      <c r="N81" s="50"/>
      <c r="O81" s="50"/>
      <c r="P81" s="30"/>
    </row>
    <row r="82" spans="1:16" s="1" customFormat="1" ht="15" x14ac:dyDescent="0.25">
      <c r="A82" s="36"/>
      <c r="E82" s="37"/>
      <c r="F82" s="52"/>
      <c r="G82" s="69"/>
      <c r="H82" s="69"/>
      <c r="I82" s="36"/>
      <c r="K82" s="2"/>
      <c r="M82" s="71"/>
      <c r="N82" s="50"/>
      <c r="O82" s="55"/>
      <c r="P82" s="61"/>
    </row>
    <row r="83" spans="1:16" s="1" customFormat="1" ht="15" x14ac:dyDescent="0.25">
      <c r="A83" s="36"/>
      <c r="E83" s="37"/>
      <c r="F83" s="52"/>
      <c r="G83" s="11"/>
      <c r="H83" s="66"/>
      <c r="I83" s="36"/>
      <c r="K83" s="2"/>
      <c r="M83" s="71"/>
      <c r="N83" s="50"/>
      <c r="O83" s="60"/>
      <c r="P83" s="30"/>
    </row>
    <row r="84" spans="1:16" s="1" customFormat="1" ht="15" customHeight="1" thickBot="1" x14ac:dyDescent="0.3">
      <c r="A84" s="40"/>
      <c r="B84" s="41"/>
      <c r="C84" s="41"/>
      <c r="D84" s="41"/>
      <c r="E84" s="42"/>
      <c r="F84" s="72"/>
      <c r="G84" s="26">
        <f>G22+G39+G49+G58+G68+G70+G74+G78+G81</f>
        <v>1114873092.0200002</v>
      </c>
      <c r="H84" s="27">
        <f>H22+H39+H49+H58+H68+H70+H74+H78+H81</f>
        <v>1137228544.3500001</v>
      </c>
      <c r="I84" s="40"/>
      <c r="J84" s="41"/>
      <c r="K84" s="25"/>
      <c r="L84" s="41"/>
      <c r="M84" s="73"/>
      <c r="N84" s="74"/>
      <c r="O84" s="26">
        <f>O55+O50+O37+O28+O25+O22</f>
        <v>1114873092.0199997</v>
      </c>
      <c r="P84" s="27">
        <f>P55+P50+P37+P28+P25+P22</f>
        <v>1137228544.3499999</v>
      </c>
    </row>
    <row r="85" spans="1:16" s="1" customFormat="1" ht="6" customHeight="1" x14ac:dyDescent="0.25">
      <c r="F85" s="11"/>
      <c r="G85" s="11"/>
      <c r="H85" s="11"/>
      <c r="K85" s="2"/>
      <c r="M85" s="24"/>
      <c r="N85" s="11"/>
      <c r="O85" s="11"/>
      <c r="P85" s="11"/>
    </row>
    <row r="86" spans="1:16" ht="15" x14ac:dyDescent="0.25">
      <c r="K86" s="2"/>
      <c r="L86" s="1"/>
      <c r="M86" s="24"/>
      <c r="N86" s="11"/>
      <c r="O86" s="11">
        <f>O25+O28+O37+O50+O55</f>
        <v>1114873092.02</v>
      </c>
      <c r="P86" s="11">
        <f>P25+P28+P37+P50+P55</f>
        <v>1137228544.3499999</v>
      </c>
    </row>
    <row r="87" spans="1:16" x14ac:dyDescent="0.2">
      <c r="F87" s="20"/>
      <c r="G87" s="19">
        <f>G22+G39+G49+G58+G68+G70+G74+G78+G81</f>
        <v>1114873092.0200002</v>
      </c>
      <c r="H87" s="19">
        <f>H22+H39+H49+H58+H68+H70+H74+H78+H81</f>
        <v>1137228544.3500001</v>
      </c>
      <c r="O87" s="17">
        <f>G84-O84</f>
        <v>0</v>
      </c>
      <c r="P87" s="17">
        <f>H84-P84</f>
        <v>0</v>
      </c>
    </row>
    <row r="88" spans="1:16" ht="14.25" x14ac:dyDescent="0.2">
      <c r="N88" s="11"/>
    </row>
    <row r="89" spans="1:16" x14ac:dyDescent="0.2">
      <c r="N89" s="19"/>
    </row>
    <row r="90" spans="1:16" ht="14.25" x14ac:dyDescent="0.2">
      <c r="N90" s="19"/>
      <c r="O90" s="11">
        <f>-G81+O25/2+O28/2+N45</f>
        <v>137510678.05500001</v>
      </c>
    </row>
    <row r="92" spans="1:16" x14ac:dyDescent="0.2">
      <c r="O92" s="29">
        <f>O90/O86</f>
        <v>0.12334200102170299</v>
      </c>
    </row>
    <row r="95" spans="1:16" ht="14.25" x14ac:dyDescent="0.2">
      <c r="F95" s="11"/>
    </row>
    <row r="96" spans="1:16" ht="14.25" x14ac:dyDescent="0.2">
      <c r="F96" s="11"/>
    </row>
    <row r="97" spans="6:6" ht="14.25" x14ac:dyDescent="0.2">
      <c r="F97" s="11"/>
    </row>
    <row r="99" spans="6:6" ht="14.25" x14ac:dyDescent="0.2">
      <c r="F99" s="11"/>
    </row>
  </sheetData>
  <phoneticPr fontId="4" type="noConversion"/>
  <printOptions horizontalCentered="1"/>
  <pageMargins left="0.7" right="0.7" top="0.75" bottom="0.75" header="0.3" footer="0.3"/>
  <pageSetup paperSize="9" scale="4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5F63-0C24-45CA-92DB-10A02320ABA9}">
  <sheetPr>
    <pageSetUpPr fitToPage="1"/>
  </sheetPr>
  <dimension ref="A1:G61"/>
  <sheetViews>
    <sheetView zoomScale="85" zoomScaleNormal="85" workbookViewId="0">
      <selection activeCell="N39" sqref="N39"/>
    </sheetView>
  </sheetViews>
  <sheetFormatPr defaultColWidth="11.42578125" defaultRowHeight="12" x14ac:dyDescent="0.2"/>
  <cols>
    <col min="1" max="1" width="3.85546875" style="124" customWidth="1"/>
    <col min="2" max="2" width="2.85546875" style="124" customWidth="1"/>
    <col min="3" max="3" width="63" style="124" customWidth="1"/>
    <col min="4" max="4" width="18.28515625" style="124" customWidth="1"/>
    <col min="5" max="5" width="18.7109375" style="124" customWidth="1"/>
    <col min="6" max="16384" width="11.42578125" style="124"/>
  </cols>
  <sheetData>
    <row r="1" spans="1:5" s="24" customFormat="1" ht="15" customHeight="1" x14ac:dyDescent="0.2">
      <c r="A1" s="130" t="s">
        <v>82</v>
      </c>
      <c r="B1" s="130"/>
      <c r="C1" s="130"/>
      <c r="D1" s="130"/>
      <c r="E1" s="130"/>
    </row>
    <row r="2" spans="1:5" s="24" customFormat="1" ht="6" customHeight="1" x14ac:dyDescent="0.2">
      <c r="E2" s="86"/>
    </row>
    <row r="3" spans="1:5" s="24" customFormat="1" ht="15" customHeight="1" x14ac:dyDescent="0.2">
      <c r="A3" s="130" t="s">
        <v>123</v>
      </c>
      <c r="B3" s="130"/>
      <c r="C3" s="130"/>
      <c r="D3" s="130"/>
      <c r="E3" s="130"/>
    </row>
    <row r="4" spans="1:5" s="24" customFormat="1" ht="6" customHeight="1" x14ac:dyDescent="0.2">
      <c r="E4" s="86"/>
    </row>
    <row r="5" spans="1:5" s="24" customFormat="1" ht="15" customHeight="1" x14ac:dyDescent="0.2">
      <c r="A5" s="130" t="s">
        <v>52</v>
      </c>
      <c r="B5" s="130"/>
      <c r="C5" s="130"/>
      <c r="D5" s="130"/>
      <c r="E5" s="130"/>
    </row>
    <row r="6" spans="1:5" s="24" customFormat="1" ht="6" customHeight="1" x14ac:dyDescent="0.2">
      <c r="E6" s="86"/>
    </row>
    <row r="7" spans="1:5" s="24" customFormat="1" ht="15" customHeight="1" x14ac:dyDescent="0.2">
      <c r="A7" s="130" t="s">
        <v>53</v>
      </c>
      <c r="B7" s="130"/>
      <c r="C7" s="130"/>
      <c r="D7" s="130"/>
      <c r="E7" s="130"/>
    </row>
    <row r="8" spans="1:5" s="24" customFormat="1" ht="15" customHeight="1" x14ac:dyDescent="0.2">
      <c r="A8" s="85"/>
      <c r="B8" s="85"/>
      <c r="C8" s="85"/>
      <c r="D8" s="85"/>
      <c r="E8" s="87">
        <f ca="1">TODAY()</f>
        <v>46297</v>
      </c>
    </row>
    <row r="9" spans="1:5" s="24" customFormat="1" ht="15" customHeight="1" thickBot="1" x14ac:dyDescent="0.25">
      <c r="E9" s="86"/>
    </row>
    <row r="10" spans="1:5" s="24" customFormat="1" ht="7.35" customHeight="1" x14ac:dyDescent="0.2">
      <c r="A10" s="88"/>
      <c r="B10" s="89"/>
      <c r="C10" s="90"/>
      <c r="D10" s="91"/>
      <c r="E10" s="92"/>
    </row>
    <row r="11" spans="1:5" s="24" customFormat="1" ht="15" customHeight="1" x14ac:dyDescent="0.2">
      <c r="A11" s="93"/>
      <c r="B11" s="94"/>
      <c r="C11" s="95"/>
      <c r="D11" s="96" t="s">
        <v>54</v>
      </c>
      <c r="E11" s="97" t="s">
        <v>54</v>
      </c>
    </row>
    <row r="12" spans="1:5" s="24" customFormat="1" ht="15" customHeight="1" x14ac:dyDescent="0.2">
      <c r="A12" s="93"/>
      <c r="B12" s="94"/>
      <c r="C12" s="95"/>
      <c r="D12" s="96">
        <v>2025</v>
      </c>
      <c r="E12" s="97">
        <v>2024</v>
      </c>
    </row>
    <row r="13" spans="1:5" s="24" customFormat="1" ht="6" customHeight="1" x14ac:dyDescent="0.2">
      <c r="A13" s="93"/>
      <c r="B13" s="94"/>
      <c r="C13" s="95"/>
      <c r="D13" s="96"/>
      <c r="E13" s="97"/>
    </row>
    <row r="14" spans="1:5" s="24" customFormat="1" ht="15" customHeight="1" x14ac:dyDescent="0.2">
      <c r="A14" s="93"/>
      <c r="B14" s="94"/>
      <c r="C14" s="95"/>
      <c r="D14" s="98" t="s">
        <v>2</v>
      </c>
      <c r="E14" s="99" t="s">
        <v>2</v>
      </c>
    </row>
    <row r="15" spans="1:5" s="24" customFormat="1" ht="6" customHeight="1" thickBot="1" x14ac:dyDescent="0.25">
      <c r="A15" s="93"/>
      <c r="B15" s="94"/>
      <c r="C15" s="95"/>
      <c r="D15" s="100"/>
      <c r="E15" s="101"/>
    </row>
    <row r="16" spans="1:5" s="24" customFormat="1" ht="15" customHeight="1" x14ac:dyDescent="0.2">
      <c r="A16" s="93"/>
      <c r="B16" s="94"/>
      <c r="C16" s="102"/>
      <c r="D16" s="103"/>
      <c r="E16" s="104"/>
    </row>
    <row r="17" spans="1:5" s="24" customFormat="1" ht="15" customHeight="1" x14ac:dyDescent="0.2">
      <c r="A17" s="93" t="s">
        <v>11</v>
      </c>
      <c r="B17" s="102" t="s">
        <v>55</v>
      </c>
      <c r="D17" s="105">
        <f>'SAP-Auszug'!C638*-1</f>
        <v>467228468.67000002</v>
      </c>
      <c r="E17" s="106">
        <f>'SAP-Auszug'!D638*-1</f>
        <v>442990961.51999998</v>
      </c>
    </row>
    <row r="18" spans="1:5" s="24" customFormat="1" ht="15" customHeight="1" x14ac:dyDescent="0.2">
      <c r="A18" s="93"/>
      <c r="B18" s="102"/>
      <c r="D18" s="105"/>
      <c r="E18" s="106"/>
    </row>
    <row r="19" spans="1:5" s="24" customFormat="1" ht="15" customHeight="1" x14ac:dyDescent="0.2">
      <c r="A19" s="93" t="s">
        <v>16</v>
      </c>
      <c r="B19" s="102" t="s">
        <v>56</v>
      </c>
      <c r="D19" s="105">
        <f>'SAP-Auszug'!C643*-1</f>
        <v>3219669.6</v>
      </c>
      <c r="E19" s="106">
        <f>'SAP-Auszug'!D643*-1</f>
        <v>2047153.4</v>
      </c>
    </row>
    <row r="20" spans="1:5" s="24" customFormat="1" ht="15" customHeight="1" x14ac:dyDescent="0.2">
      <c r="A20" s="93"/>
      <c r="B20" s="102"/>
      <c r="D20" s="105"/>
      <c r="E20" s="106"/>
    </row>
    <row r="21" spans="1:5" s="24" customFormat="1" ht="15" customHeight="1" x14ac:dyDescent="0.2">
      <c r="A21" s="93" t="s">
        <v>17</v>
      </c>
      <c r="B21" s="102" t="s">
        <v>57</v>
      </c>
      <c r="D21" s="105">
        <f>'SAP-Auszug'!C679*-1</f>
        <v>11043537.960000001</v>
      </c>
      <c r="E21" s="105">
        <v>10555742.699999999</v>
      </c>
    </row>
    <row r="22" spans="1:5" s="24" customFormat="1" ht="15" customHeight="1" x14ac:dyDescent="0.2">
      <c r="A22" s="93"/>
      <c r="B22" s="102"/>
      <c r="D22" s="105"/>
      <c r="E22" s="106"/>
    </row>
    <row r="23" spans="1:5" s="24" customFormat="1" ht="15" customHeight="1" x14ac:dyDescent="0.2">
      <c r="A23" s="93" t="s">
        <v>27</v>
      </c>
      <c r="B23" s="102" t="s">
        <v>59</v>
      </c>
      <c r="D23" s="105"/>
      <c r="E23" s="106"/>
    </row>
    <row r="24" spans="1:5" s="24" customFormat="1" ht="15" customHeight="1" x14ac:dyDescent="0.2">
      <c r="A24" s="93"/>
      <c r="B24" s="102" t="s">
        <v>60</v>
      </c>
      <c r="C24" s="24" t="s">
        <v>61</v>
      </c>
      <c r="D24" s="105">
        <f>'SAP-Auszug'!C726</f>
        <v>35368093.829999998</v>
      </c>
      <c r="E24" s="105">
        <f>'SAP-Auszug'!D726</f>
        <v>32429057.109999999</v>
      </c>
    </row>
    <row r="25" spans="1:5" s="24" customFormat="1" ht="15" customHeight="1" x14ac:dyDescent="0.2">
      <c r="A25" s="93"/>
      <c r="B25" s="102" t="s">
        <v>62</v>
      </c>
      <c r="C25" s="24" t="s">
        <v>63</v>
      </c>
      <c r="D25" s="108">
        <f>'SAP-Auszug'!C750</f>
        <v>121555895.12</v>
      </c>
      <c r="E25" s="108">
        <f>'SAP-Auszug'!D750</f>
        <v>121563629.34999999</v>
      </c>
    </row>
    <row r="26" spans="1:5" s="24" customFormat="1" ht="15" customHeight="1" x14ac:dyDescent="0.2">
      <c r="A26" s="93"/>
      <c r="B26" s="102"/>
      <c r="D26" s="105">
        <f>SUM(D24:D25)</f>
        <v>156923988.94999999</v>
      </c>
      <c r="E26" s="106">
        <f>SUM(E24:E25)</f>
        <v>153992686.45999998</v>
      </c>
    </row>
    <row r="27" spans="1:5" s="24" customFormat="1" ht="15" customHeight="1" x14ac:dyDescent="0.2">
      <c r="A27" s="93" t="s">
        <v>58</v>
      </c>
      <c r="B27" s="102" t="s">
        <v>64</v>
      </c>
      <c r="D27" s="105"/>
      <c r="E27" s="106"/>
    </row>
    <row r="28" spans="1:5" s="24" customFormat="1" ht="15" customHeight="1" x14ac:dyDescent="0.2">
      <c r="A28" s="93"/>
      <c r="B28" s="102" t="s">
        <v>60</v>
      </c>
      <c r="C28" s="24" t="s">
        <v>65</v>
      </c>
      <c r="D28" s="105">
        <f>+'SAP-Auszug'!C777</f>
        <v>94688353.989999995</v>
      </c>
      <c r="E28" s="105">
        <f>+'SAP-Auszug'!D777</f>
        <v>88505043.150000006</v>
      </c>
    </row>
    <row r="29" spans="1:5" s="24" customFormat="1" ht="15" customHeight="1" x14ac:dyDescent="0.2">
      <c r="A29" s="93"/>
      <c r="B29" s="102" t="s">
        <v>62</v>
      </c>
      <c r="C29" s="24" t="s">
        <v>83</v>
      </c>
      <c r="D29" s="108">
        <f>+'SAP-Auszug'!C804</f>
        <v>25168229.550000001</v>
      </c>
      <c r="E29" s="108">
        <f>+'SAP-Auszug'!D804</f>
        <v>23936970.41</v>
      </c>
    </row>
    <row r="30" spans="1:5" s="24" customFormat="1" ht="15" customHeight="1" x14ac:dyDescent="0.2">
      <c r="A30" s="93"/>
      <c r="B30" s="102"/>
      <c r="D30" s="105">
        <f>SUM(D28:D29)</f>
        <v>119856583.53999999</v>
      </c>
      <c r="E30" s="106">
        <f>SUM(E28:E29)</f>
        <v>112442013.56</v>
      </c>
    </row>
    <row r="31" spans="1:5" s="24" customFormat="1" ht="15" customHeight="1" x14ac:dyDescent="0.2">
      <c r="A31" s="93"/>
      <c r="B31" s="109"/>
      <c r="D31" s="105"/>
      <c r="E31" s="106"/>
    </row>
    <row r="32" spans="1:5" s="24" customFormat="1" ht="15" customHeight="1" x14ac:dyDescent="0.2">
      <c r="A32" s="93" t="s">
        <v>84</v>
      </c>
      <c r="B32" s="109" t="s">
        <v>81</v>
      </c>
      <c r="D32" s="105">
        <f>+'SAP-Auszug'!C825</f>
        <v>78541278.480000004</v>
      </c>
      <c r="E32" s="105">
        <f>+'SAP-Auszug'!D825</f>
        <v>76329429.780000001</v>
      </c>
    </row>
    <row r="33" spans="1:7" s="24" customFormat="1" ht="15" customHeight="1" x14ac:dyDescent="0.2">
      <c r="A33" s="93"/>
      <c r="B33" s="109"/>
      <c r="D33" s="105"/>
      <c r="E33" s="106"/>
    </row>
    <row r="34" spans="1:7" s="24" customFormat="1" ht="15" customHeight="1" x14ac:dyDescent="0.2">
      <c r="A34" s="93" t="s">
        <v>66</v>
      </c>
      <c r="B34" s="109" t="s">
        <v>68</v>
      </c>
      <c r="D34" s="105">
        <f>+'SAP-Auszug'!C941</f>
        <v>69384919.019999996</v>
      </c>
      <c r="E34" s="105">
        <v>64915859.740000002</v>
      </c>
      <c r="F34" s="110"/>
    </row>
    <row r="35" spans="1:7" s="24" customFormat="1" ht="15" customHeight="1" x14ac:dyDescent="0.2">
      <c r="A35" s="93"/>
      <c r="B35" s="109"/>
      <c r="D35" s="105"/>
      <c r="E35" s="106"/>
      <c r="F35" s="111"/>
    </row>
    <row r="36" spans="1:7" s="24" customFormat="1" ht="15" customHeight="1" x14ac:dyDescent="0.2">
      <c r="A36" s="93" t="s">
        <v>67</v>
      </c>
      <c r="B36" s="109" t="s">
        <v>70</v>
      </c>
      <c r="D36" s="105">
        <f>+'SAP-Auszug'!C953*-1</f>
        <v>404732.85</v>
      </c>
      <c r="E36" s="105">
        <f>+'SAP-Auszug'!D953*-1</f>
        <v>459341.41</v>
      </c>
      <c r="F36" s="112"/>
    </row>
    <row r="37" spans="1:7" s="24" customFormat="1" ht="15" customHeight="1" x14ac:dyDescent="0.2">
      <c r="A37" s="93"/>
      <c r="B37" s="109"/>
      <c r="D37" s="105"/>
      <c r="E37" s="106"/>
      <c r="F37" s="110"/>
    </row>
    <row r="38" spans="1:7" s="24" customFormat="1" ht="15" customHeight="1" x14ac:dyDescent="0.2">
      <c r="A38" s="93" t="s">
        <v>69</v>
      </c>
      <c r="B38" s="109" t="s">
        <v>85</v>
      </c>
      <c r="D38" s="105">
        <f>+'SAP-Auszug'!C957*-1</f>
        <v>1193400.04</v>
      </c>
      <c r="E38" s="105">
        <f>+'SAP-Auszug'!D957*-1</f>
        <v>763751.84</v>
      </c>
      <c r="F38" s="110"/>
    </row>
    <row r="39" spans="1:7" s="24" customFormat="1" ht="15" customHeight="1" x14ac:dyDescent="0.2">
      <c r="A39" s="93"/>
      <c r="B39" s="109"/>
      <c r="D39" s="105"/>
      <c r="E39" s="106"/>
      <c r="F39" s="110"/>
    </row>
    <row r="40" spans="1:7" s="24" customFormat="1" ht="15" customHeight="1" x14ac:dyDescent="0.2">
      <c r="A40" s="93" t="s">
        <v>71</v>
      </c>
      <c r="B40" s="109" t="s">
        <v>1562</v>
      </c>
      <c r="D40" s="105">
        <f>+'SAP-Auszug'!C964*-1</f>
        <v>60270.48</v>
      </c>
      <c r="E40" s="105">
        <f>+'SAP-Auszug'!D964*-1</f>
        <v>145.44999999999999</v>
      </c>
      <c r="F40" s="110"/>
      <c r="G40" s="107"/>
    </row>
    <row r="41" spans="1:7" s="24" customFormat="1" ht="15" customHeight="1" x14ac:dyDescent="0.2">
      <c r="A41" s="93"/>
      <c r="B41" s="109"/>
      <c r="D41" s="105"/>
      <c r="E41" s="106"/>
      <c r="F41" s="113"/>
    </row>
    <row r="42" spans="1:7" s="24" customFormat="1" ht="15" customHeight="1" x14ac:dyDescent="0.2">
      <c r="A42" s="93" t="s">
        <v>72</v>
      </c>
      <c r="B42" s="109" t="s">
        <v>73</v>
      </c>
      <c r="D42" s="105">
        <f>+'SAP-Auszug'!C977*-1</f>
        <v>1829429.06</v>
      </c>
      <c r="E42" s="105">
        <f>+'SAP-Auszug'!D977*-1</f>
        <v>2803574.21</v>
      </c>
    </row>
    <row r="43" spans="1:7" s="24" customFormat="1" ht="15" customHeight="1" x14ac:dyDescent="0.2">
      <c r="A43" s="93"/>
      <c r="B43" s="109"/>
      <c r="D43" s="105"/>
      <c r="E43" s="106"/>
    </row>
    <row r="44" spans="1:7" s="24" customFormat="1" ht="15" customHeight="1" x14ac:dyDescent="0.2">
      <c r="A44" s="93" t="s">
        <v>74</v>
      </c>
      <c r="B44" s="109" t="s">
        <v>86</v>
      </c>
      <c r="D44" s="105">
        <f>+'SAP-Auszug'!C982</f>
        <v>1354804.66</v>
      </c>
      <c r="E44" s="105">
        <f>+'SAP-Auszug'!D982</f>
        <v>1735218.37</v>
      </c>
    </row>
    <row r="45" spans="1:7" s="24" customFormat="1" ht="15" customHeight="1" x14ac:dyDescent="0.2">
      <c r="A45" s="93"/>
      <c r="B45" s="109"/>
      <c r="D45" s="105"/>
      <c r="E45" s="106"/>
    </row>
    <row r="46" spans="1:7" s="24" customFormat="1" ht="15" customHeight="1" x14ac:dyDescent="0.2">
      <c r="A46" s="93" t="s">
        <v>75</v>
      </c>
      <c r="B46" s="109" t="s">
        <v>76</v>
      </c>
      <c r="D46" s="105">
        <f>+'SAP-Auszug'!C1008</f>
        <v>35082808.600000001</v>
      </c>
      <c r="E46" s="105">
        <f>+'SAP-Auszug'!D1008</f>
        <v>32906422.460000001</v>
      </c>
    </row>
    <row r="47" spans="1:7" s="24" customFormat="1" ht="14.25" customHeight="1" x14ac:dyDescent="0.2">
      <c r="A47" s="93"/>
      <c r="B47" s="109"/>
      <c r="D47" s="105"/>
      <c r="E47" s="106"/>
    </row>
    <row r="48" spans="1:7" s="24" customFormat="1" x14ac:dyDescent="0.2">
      <c r="A48" s="93" t="s">
        <v>77</v>
      </c>
      <c r="B48" s="24" t="s">
        <v>78</v>
      </c>
      <c r="D48" s="105">
        <f>+'SAP-Auszug'!C1018</f>
        <v>2867908.9</v>
      </c>
      <c r="E48" s="105">
        <f>+'SAP-Auszug'!D1018</f>
        <v>2020682.53</v>
      </c>
    </row>
    <row r="49" spans="1:5" s="24" customFormat="1" ht="12.75" thickBot="1" x14ac:dyDescent="0.25">
      <c r="A49" s="93"/>
      <c r="D49" s="114"/>
      <c r="E49" s="115"/>
    </row>
    <row r="50" spans="1:5" s="24" customFormat="1" x14ac:dyDescent="0.2">
      <c r="A50" s="116" t="s">
        <v>118</v>
      </c>
      <c r="B50" s="117" t="s">
        <v>99</v>
      </c>
      <c r="C50" s="126"/>
      <c r="D50" s="118">
        <f>D17+D19+D21-D24-D25-D28-D29-D32-D34+D36+D38+D40+D42-D44-D46-D48</f>
        <v>20967216.510000013</v>
      </c>
      <c r="E50" s="119">
        <f>E17+E19+E21-E24-E25-E28-E29-E32-E34+E36+E38+E40+E42-E44-E46-E48</f>
        <v>15278357.629999967</v>
      </c>
    </row>
    <row r="51" spans="1:5" s="117" customFormat="1" ht="15" customHeight="1" x14ac:dyDescent="0.2">
      <c r="A51" s="93"/>
      <c r="B51" s="94"/>
      <c r="C51" s="127"/>
      <c r="D51" s="105"/>
      <c r="E51" s="106"/>
    </row>
    <row r="52" spans="1:5" s="117" customFormat="1" ht="15" customHeight="1" x14ac:dyDescent="0.2">
      <c r="A52" s="93" t="s">
        <v>119</v>
      </c>
      <c r="B52" s="102" t="s">
        <v>79</v>
      </c>
      <c r="C52" s="95"/>
      <c r="D52" s="105">
        <f>+'SAP-Auszug'!C1029</f>
        <v>720627.36</v>
      </c>
      <c r="E52" s="105">
        <f>+'SAP-Auszug'!D1029</f>
        <v>1691281.5</v>
      </c>
    </row>
    <row r="53" spans="1:5" s="24" customFormat="1" ht="15" customHeight="1" x14ac:dyDescent="0.2">
      <c r="A53" s="93"/>
      <c r="B53" s="102"/>
      <c r="C53" s="95"/>
      <c r="D53" s="108"/>
      <c r="E53" s="120"/>
    </row>
    <row r="54" spans="1:5" s="24" customFormat="1" ht="15" customHeight="1" x14ac:dyDescent="0.2">
      <c r="A54" s="93"/>
      <c r="B54" s="109"/>
      <c r="C54" s="127"/>
      <c r="D54" s="105"/>
      <c r="E54" s="106"/>
    </row>
    <row r="55" spans="1:5" s="24" customFormat="1" ht="15" customHeight="1" x14ac:dyDescent="0.2">
      <c r="A55" s="116" t="s">
        <v>80</v>
      </c>
      <c r="B55" s="121" t="s">
        <v>117</v>
      </c>
      <c r="C55" s="95"/>
      <c r="D55" s="118">
        <f>D50-D52</f>
        <v>20246589.150000013</v>
      </c>
      <c r="E55" s="119">
        <f>E50-E52</f>
        <v>13587076.129999967</v>
      </c>
    </row>
    <row r="56" spans="1:5" s="24" customFormat="1" ht="6" customHeight="1" thickBot="1" x14ac:dyDescent="0.25">
      <c r="A56" s="122"/>
      <c r="B56" s="123"/>
      <c r="C56" s="128"/>
      <c r="D56" s="114"/>
      <c r="E56" s="115"/>
    </row>
    <row r="57" spans="1:5" s="24" customFormat="1" ht="6" customHeight="1" x14ac:dyDescent="0.2">
      <c r="A57" s="124"/>
      <c r="B57" s="124"/>
      <c r="C57" s="124"/>
      <c r="D57" s="124"/>
      <c r="E57" s="124"/>
    </row>
    <row r="58" spans="1:5" s="24" customFormat="1" ht="15" customHeight="1" x14ac:dyDescent="0.2">
      <c r="A58" s="124"/>
      <c r="B58" s="124"/>
      <c r="C58" s="124"/>
      <c r="D58" s="124"/>
      <c r="E58" s="124"/>
    </row>
    <row r="59" spans="1:5" s="24" customFormat="1" ht="6" customHeight="1" x14ac:dyDescent="0.2">
      <c r="A59" s="124"/>
      <c r="B59" s="124"/>
      <c r="C59" s="124"/>
      <c r="D59" s="124"/>
      <c r="E59" s="124"/>
    </row>
    <row r="61" spans="1:5" x14ac:dyDescent="0.2">
      <c r="E61" s="125"/>
    </row>
  </sheetData>
  <mergeCells count="4">
    <mergeCell ref="A1:E1"/>
    <mergeCell ref="A3:E3"/>
    <mergeCell ref="A5:E5"/>
    <mergeCell ref="A7:E7"/>
  </mergeCells>
  <phoneticPr fontId="4" type="noConversion"/>
  <pageMargins left="0.78740157480314965" right="0.39370078740157483" top="0.78740157480314965" bottom="0.39370078740157483" header="0.51181102362204722" footer="0.51181102362204722"/>
  <pageSetup paperSize="9" scale="8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67c487-0b8d-48c6-8af2-8c60c3f722a0"/>
    <lcf76f155ced4ddcb4097134ff3c332f xmlns="a2bfb3d0-c17c-4c08-a360-202b8d58d54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79FC912D6FA542BB3BA86C40D70B8D" ma:contentTypeVersion="11" ma:contentTypeDescription="Create a new document." ma:contentTypeScope="" ma:versionID="2b4252e1b3c28cfb8b5da4d56c8f2d20">
  <xsd:schema xmlns:xsd="http://www.w3.org/2001/XMLSchema" xmlns:xs="http://www.w3.org/2001/XMLSchema" xmlns:p="http://schemas.microsoft.com/office/2006/metadata/properties" xmlns:ns2="a2bfb3d0-c17c-4c08-a360-202b8d58d547" xmlns:ns3="6e67c487-0b8d-48c6-8af2-8c60c3f722a0" targetNamespace="http://schemas.microsoft.com/office/2006/metadata/properties" ma:root="true" ma:fieldsID="14041961f16392b9ddca94b69e9140f3" ns2:_="" ns3:_="">
    <xsd:import namespace="a2bfb3d0-c17c-4c08-a360-202b8d58d547"/>
    <xsd:import namespace="6e67c487-0b8d-48c6-8af2-8c60c3f722a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fb3d0-c17c-4c08-a360-202b8d58d54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7c487-0b8d-48c6-8af2-8c60c3f722a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1e728a-b17c-4168-8e78-e9872bba3b0b}" ma:internalName="TaxCatchAll" ma:showField="CatchAllData" ma:web="6e67c487-0b8d-48c6-8af2-8c60c3f722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932ED4-10ED-4670-AD8A-FF09AF2912DB}">
  <ds:schemaRefs>
    <ds:schemaRef ds:uri="http://purl.org/dc/dcmitype/"/>
    <ds:schemaRef ds:uri="6e67c487-0b8d-48c6-8af2-8c60c3f722a0"/>
    <ds:schemaRef ds:uri="http://purl.org/dc/elements/1.1/"/>
    <ds:schemaRef ds:uri="http://purl.org/dc/terms/"/>
    <ds:schemaRef ds:uri="http://schemas.microsoft.com/office/2006/documentManagement/types"/>
    <ds:schemaRef ds:uri="a2bfb3d0-c17c-4c08-a360-202b8d58d54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0225D0-CE73-453A-81DE-5DC60625EE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bfb3d0-c17c-4c08-a360-202b8d58d547"/>
    <ds:schemaRef ds:uri="6e67c487-0b8d-48c6-8af2-8c60c3f722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AC1596-DFFB-452B-BD1F-0BCBDAF30A2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SAP-Auszug</vt:lpstr>
      <vt:lpstr>Bilanz</vt:lpstr>
      <vt:lpstr>G+V</vt:lpstr>
      <vt:lpstr>Bilanz!Print_Area</vt:lpstr>
      <vt:lpstr>'G+V'!Print_Area</vt:lpstr>
    </vt:vector>
  </TitlesOfParts>
  <Company>Düsseldorf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priebeh</dc:creator>
  <cp:lastModifiedBy>Goethel, Moritz</cp:lastModifiedBy>
  <cp:lastPrinted>2026-09-07T14:23:04Z</cp:lastPrinted>
  <dcterms:created xsi:type="dcterms:W3CDTF">2009-08-11T04:39:52Z</dcterms:created>
  <dcterms:modified xsi:type="dcterms:W3CDTF">2026-10-02T21:10:22Z</dcterms:modified>
</cp:coreProperties>
</file>