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eudeloitte-my.sharepoint.com/personal/mgoethel_deloitte_de/Documents/Documents/Projekt/SynchFolder/DUS/"/>
    </mc:Choice>
  </mc:AlternateContent>
  <xr:revisionPtr revIDLastSave="1" documentId="13_ncr:1_{64B282F2-75DE-40DD-8F6E-4B26D829AF13}" xr6:coauthVersionLast="47" xr6:coauthVersionMax="47" xr10:uidLastSave="{31CA144F-385A-4831-8B81-8B81BDBBBDB7}"/>
  <bookViews>
    <workbookView xWindow="-21720" yWindow="-14280" windowWidth="21840" windowHeight="37920" activeTab="2" xr2:uid="{00000000-000D-0000-FFFF-FFFF00000000}"/>
  </bookViews>
  <sheets>
    <sheet name="Mapping" sheetId="1" r:id="rId1"/>
    <sheet name="Zusammenfassung" sheetId="2" r:id="rId2"/>
    <sheet name="Neuanlagen" sheetId="3" r:id="rId3"/>
    <sheet name="Positionszuordnung" sheetId="4" r:id="rId4"/>
    <sheet name="Sammelkonten" sheetId="5" r:id="rId5"/>
    <sheet name="Hinweise" sheetId="6" r:id="rId6"/>
    <sheet name="YCOA-Konten" sheetId="7" r:id="rId7"/>
  </sheets>
  <definedNames>
    <definedName name="_xlnm._FilterDatabase" localSheetId="0" hidden="1">Mapping!$A$1:$N$601</definedName>
    <definedName name="_xlnm._FilterDatabase" localSheetId="2" hidden="1">Neuanlagen!$A$5:$K$90</definedName>
    <definedName name="_xlnm._FilterDatabase" localSheetId="3" hidden="1">Positionszuordnung!$A$4:$G$113</definedName>
    <definedName name="_xlnm._FilterDatabase" localSheetId="4" hidden="1">Sammelkonten!$A$4:$F$139</definedName>
    <definedName name="_xlnm._FilterDatabase" localSheetId="6" hidden="1">'YCOA-Konten'!$A$4:$E$708</definedName>
    <definedName name="_xlnm.Print_Titles" localSheetId="0">Mapping!$1:$1</definedName>
    <definedName name="_xlnm.Print_Titles" localSheetId="2">Neuanlagen!$5:$5</definedName>
    <definedName name="_xlnm.Print_Titles" localSheetId="3">Positionszuordnung!$4:$4</definedName>
    <definedName name="_xlnm.Print_Titles" localSheetId="4">Sammelkonten!$4:$4</definedName>
    <definedName name="_xlnm.Print_Titles" localSheetId="6">'YCOA-Konten'!$4:$4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3" i="4" l="1"/>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I91"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I216" i="1" s="1"/>
  <c r="C40" i="3"/>
  <c r="I215" i="1" s="1"/>
  <c r="C39" i="3"/>
  <c r="I214" i="1" s="1"/>
  <c r="C38" i="3"/>
  <c r="I213" i="1" s="1"/>
  <c r="C37" i="3"/>
  <c r="I212" i="1" s="1"/>
  <c r="C36" i="3"/>
  <c r="I211" i="1" s="1"/>
  <c r="C35" i="3"/>
  <c r="I210" i="1" s="1"/>
  <c r="C34" i="3"/>
  <c r="I209" i="1" s="1"/>
  <c r="C33" i="3"/>
  <c r="I208" i="1" s="1"/>
  <c r="C32" i="3"/>
  <c r="I207" i="1" s="1"/>
  <c r="C31" i="3"/>
  <c r="I555" i="1" s="1"/>
  <c r="C30" i="3"/>
  <c r="I206" i="1" s="1"/>
  <c r="C29" i="3"/>
  <c r="I205" i="1" s="1"/>
  <c r="C28" i="3"/>
  <c r="I255" i="1" s="1"/>
  <c r="C27" i="3"/>
  <c r="I204" i="1" s="1"/>
  <c r="C26" i="3"/>
  <c r="I554" i="1" s="1"/>
  <c r="C25" i="3"/>
  <c r="I553" i="1" s="1"/>
  <c r="C24" i="3"/>
  <c r="I203" i="1" s="1"/>
  <c r="C23" i="3"/>
  <c r="I552" i="1" s="1"/>
  <c r="C22" i="3"/>
  <c r="I202" i="1" s="1"/>
  <c r="C21" i="3"/>
  <c r="I201" i="1" s="1"/>
  <c r="C20" i="3"/>
  <c r="I200" i="1" s="1"/>
  <c r="C19" i="3"/>
  <c r="C18" i="3"/>
  <c r="C17" i="3"/>
  <c r="C16" i="3"/>
  <c r="C15" i="3"/>
  <c r="C14" i="3"/>
  <c r="C13" i="3"/>
  <c r="I184" i="1" s="1"/>
  <c r="C12" i="3"/>
  <c r="I192" i="1" s="1"/>
  <c r="C11" i="3"/>
  <c r="I191" i="1" s="1"/>
  <c r="C10" i="3"/>
  <c r="I188" i="1" s="1"/>
  <c r="C9" i="3"/>
  <c r="I190" i="1" s="1"/>
  <c r="C8" i="3"/>
  <c r="I187" i="1" s="1"/>
  <c r="C7" i="3"/>
  <c r="I186" i="1" s="1"/>
  <c r="C6" i="3"/>
  <c r="I185" i="1" s="1"/>
  <c r="F41" i="2"/>
  <c r="E41" i="2"/>
  <c r="D41" i="2"/>
  <c r="C41" i="2"/>
  <c r="B41" i="2"/>
  <c r="F40" i="2"/>
  <c r="E40" i="2"/>
  <c r="D40" i="2"/>
  <c r="C40" i="2"/>
  <c r="B40" i="2"/>
  <c r="F39" i="2"/>
  <c r="E39" i="2"/>
  <c r="D39" i="2"/>
  <c r="C39" i="2"/>
  <c r="B39" i="2"/>
  <c r="F38" i="2"/>
  <c r="E38" i="2"/>
  <c r="D38" i="2"/>
  <c r="C38" i="2"/>
  <c r="B38" i="2"/>
  <c r="F37" i="2"/>
  <c r="F42" i="2" s="1"/>
  <c r="E37" i="2"/>
  <c r="E42" i="2" s="1"/>
  <c r="D37" i="2"/>
  <c r="D42" i="2" s="1"/>
  <c r="C37" i="2"/>
  <c r="C42" i="2" s="1"/>
  <c r="B37" i="2"/>
  <c r="B33" i="2"/>
  <c r="B32" i="2"/>
  <c r="B31" i="2"/>
  <c r="B28" i="2"/>
  <c r="B27" i="2"/>
  <c r="B26" i="2"/>
  <c r="B25" i="2"/>
  <c r="B24" i="2"/>
  <c r="B23" i="2"/>
  <c r="B22" i="2"/>
  <c r="B21" i="2"/>
  <c r="B20" i="2"/>
  <c r="B15" i="2"/>
  <c r="B14" i="2"/>
  <c r="B13" i="2"/>
  <c r="B12" i="2"/>
  <c r="B11" i="2"/>
  <c r="B10" i="2"/>
  <c r="B9" i="2"/>
  <c r="B8" i="2"/>
  <c r="B7" i="2"/>
  <c r="B6" i="2"/>
  <c r="B5" i="2"/>
  <c r="J596" i="1"/>
  <c r="I596" i="1"/>
  <c r="J595" i="1"/>
  <c r="I595" i="1"/>
  <c r="J574" i="1"/>
  <c r="J573" i="1"/>
  <c r="J556" i="1"/>
  <c r="J555" i="1"/>
  <c r="J554" i="1"/>
  <c r="J553" i="1"/>
  <c r="J552" i="1"/>
  <c r="J264" i="1"/>
  <c r="J262" i="1"/>
  <c r="J261" i="1"/>
  <c r="J260" i="1"/>
  <c r="J258"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I225" i="1"/>
  <c r="J224" i="1"/>
  <c r="I224" i="1"/>
  <c r="J223" i="1"/>
  <c r="I223" i="1"/>
  <c r="J222" i="1"/>
  <c r="I222" i="1"/>
  <c r="J221" i="1"/>
  <c r="I221" i="1"/>
  <c r="J220" i="1"/>
  <c r="I220" i="1"/>
  <c r="J219" i="1"/>
  <c r="I219" i="1"/>
  <c r="J218" i="1"/>
  <c r="I218" i="1"/>
  <c r="J217" i="1"/>
  <c r="I217" i="1"/>
  <c r="J216" i="1"/>
  <c r="J215" i="1"/>
  <c r="J214" i="1"/>
  <c r="J213" i="1"/>
  <c r="J212" i="1"/>
  <c r="J211" i="1"/>
  <c r="J210" i="1"/>
  <c r="J209" i="1"/>
  <c r="J208" i="1"/>
  <c r="J207" i="1"/>
  <c r="J206" i="1"/>
  <c r="J205" i="1"/>
  <c r="J204" i="1"/>
  <c r="J203" i="1"/>
  <c r="J202" i="1"/>
  <c r="J201" i="1"/>
  <c r="J200" i="1"/>
  <c r="J199" i="1"/>
  <c r="I199" i="1"/>
  <c r="J198" i="1"/>
  <c r="I198" i="1"/>
  <c r="J197" i="1"/>
  <c r="I197" i="1"/>
  <c r="J194" i="1"/>
  <c r="I194" i="1"/>
  <c r="J193" i="1"/>
  <c r="I193" i="1"/>
  <c r="J192" i="1"/>
  <c r="J191" i="1"/>
  <c r="J190" i="1"/>
  <c r="J189" i="1"/>
  <c r="I189" i="1"/>
  <c r="J188" i="1"/>
  <c r="J187" i="1"/>
  <c r="J186" i="1"/>
  <c r="J185" i="1"/>
  <c r="J184" i="1"/>
  <c r="J52" i="3" l="1"/>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G41" i="2"/>
  <c r="G40" i="2"/>
  <c r="G39" i="2"/>
  <c r="G38" i="2"/>
  <c r="J19" i="3"/>
  <c r="J18" i="3"/>
  <c r="J17" i="3"/>
  <c r="J16" i="3"/>
  <c r="J15" i="3"/>
  <c r="J14" i="3"/>
  <c r="J13" i="3"/>
  <c r="J12" i="3"/>
  <c r="J11" i="3"/>
  <c r="J10" i="3"/>
  <c r="J9" i="3"/>
  <c r="J8" i="3"/>
  <c r="J7" i="3"/>
  <c r="J6" i="3"/>
  <c r="B16" i="2"/>
  <c r="G114" i="4"/>
  <c r="J90" i="3"/>
  <c r="I264" i="1"/>
  <c r="J89" i="3"/>
  <c r="I262" i="1"/>
  <c r="J88" i="3"/>
  <c r="I261" i="1"/>
  <c r="J87" i="3"/>
  <c r="I260" i="1"/>
  <c r="I258" i="1"/>
  <c r="J86" i="3"/>
  <c r="I256" i="1"/>
  <c r="J85" i="3"/>
  <c r="I556" i="1"/>
  <c r="J84" i="3"/>
  <c r="J83" i="3"/>
  <c r="I254" i="1"/>
  <c r="I574" i="1"/>
  <c r="J82" i="3"/>
  <c r="J81" i="3"/>
  <c r="I573" i="1"/>
  <c r="I253" i="1"/>
  <c r="J80" i="3"/>
  <c r="I252" i="1"/>
  <c r="J79" i="3"/>
  <c r="I251" i="1"/>
  <c r="J78" i="3"/>
  <c r="I250" i="1"/>
  <c r="J77" i="3"/>
  <c r="I249" i="1"/>
  <c r="J76" i="3"/>
  <c r="I248" i="1"/>
  <c r="J75" i="3"/>
  <c r="I247" i="1"/>
  <c r="J74" i="3"/>
  <c r="I246" i="1"/>
  <c r="J73" i="3"/>
  <c r="J72" i="3"/>
  <c r="I245" i="1"/>
  <c r="J71" i="3"/>
  <c r="I244" i="1"/>
  <c r="I243" i="1"/>
  <c r="J70" i="3"/>
  <c r="J69" i="3"/>
  <c r="I242" i="1"/>
  <c r="I241" i="1"/>
  <c r="J68" i="3"/>
  <c r="I240" i="1"/>
  <c r="J67" i="3"/>
  <c r="I239" i="1"/>
  <c r="J66" i="3"/>
  <c r="I238" i="1"/>
  <c r="J65" i="3"/>
  <c r="I237" i="1"/>
  <c r="J64" i="3"/>
  <c r="I236" i="1"/>
  <c r="J63" i="3"/>
  <c r="J62" i="3"/>
  <c r="I235" i="1"/>
  <c r="J61" i="3"/>
  <c r="I234" i="1"/>
  <c r="J60" i="3"/>
  <c r="I233" i="1"/>
  <c r="J59" i="3"/>
  <c r="I232" i="1"/>
  <c r="J58" i="3"/>
  <c r="I231" i="1"/>
  <c r="J57" i="3"/>
  <c r="I230" i="1"/>
  <c r="J56" i="3"/>
  <c r="I229" i="1"/>
  <c r="J55" i="3"/>
  <c r="I228" i="1"/>
  <c r="D138" i="5" s="1"/>
  <c r="J54" i="3"/>
  <c r="I227" i="1"/>
  <c r="J53" i="3"/>
  <c r="I226" i="1"/>
  <c r="G37" i="2"/>
  <c r="B42" i="2"/>
  <c r="D130" i="5" l="1"/>
  <c r="B17" i="2"/>
  <c r="D139" i="5"/>
  <c r="D128" i="5"/>
  <c r="G42" i="2"/>
  <c r="D127" i="5"/>
  <c r="D129" i="5"/>
  <c r="D131" i="5"/>
  <c r="D132" i="5"/>
  <c r="D133" i="5"/>
  <c r="D134" i="5"/>
  <c r="D135" i="5"/>
  <c r="D136" i="5"/>
  <c r="D137" i="5"/>
  <c r="D8" i="5"/>
  <c r="D12" i="5"/>
  <c r="D16" i="5"/>
  <c r="D19" i="5"/>
  <c r="D23" i="5"/>
  <c r="D27" i="5"/>
  <c r="D31" i="5"/>
  <c r="D36" i="5"/>
  <c r="D39" i="5"/>
  <c r="D42" i="5"/>
  <c r="D47" i="5"/>
  <c r="D51" i="5"/>
  <c r="D55" i="5"/>
  <c r="D59" i="5"/>
  <c r="D63" i="5"/>
  <c r="D67" i="5"/>
  <c r="D5" i="5"/>
  <c r="D9" i="5"/>
  <c r="D13" i="5"/>
  <c r="D17" i="5"/>
  <c r="D21" i="5"/>
  <c r="D25" i="5"/>
  <c r="D29" i="5"/>
  <c r="D34" i="5"/>
  <c r="D37" i="5"/>
  <c r="D40" i="5"/>
  <c r="D43" i="5"/>
  <c r="D46" i="5"/>
  <c r="D50" i="5"/>
  <c r="D54" i="5"/>
  <c r="D58" i="5"/>
  <c r="D62" i="5"/>
  <c r="D66" i="5"/>
  <c r="D32" i="5"/>
  <c r="D7" i="5"/>
  <c r="D11" i="5"/>
  <c r="D15" i="5"/>
  <c r="D20" i="5"/>
  <c r="D24" i="5"/>
  <c r="D28" i="5"/>
  <c r="D33" i="5"/>
  <c r="D45" i="5"/>
  <c r="D49" i="5"/>
  <c r="D53" i="5"/>
  <c r="D57" i="5"/>
  <c r="D61" i="5"/>
  <c r="D65" i="5"/>
  <c r="D69" i="5"/>
  <c r="D71" i="5"/>
  <c r="D73" i="5"/>
  <c r="D75" i="5"/>
  <c r="D77" i="5"/>
  <c r="D79" i="5"/>
  <c r="D82" i="5"/>
  <c r="D84" i="5"/>
  <c r="D86" i="5"/>
  <c r="D88" i="5"/>
  <c r="D90" i="5"/>
  <c r="D92" i="5"/>
  <c r="D94" i="5"/>
  <c r="D96" i="5"/>
  <c r="D98" i="5"/>
  <c r="D100" i="5"/>
  <c r="D102" i="5"/>
  <c r="D104" i="5"/>
  <c r="D106" i="5"/>
  <c r="D108" i="5"/>
  <c r="D110" i="5"/>
  <c r="D112" i="5"/>
  <c r="D114" i="5"/>
  <c r="D116" i="5"/>
  <c r="D118" i="5"/>
  <c r="D120" i="5"/>
  <c r="D122" i="5"/>
  <c r="D6" i="5"/>
  <c r="D10" i="5"/>
  <c r="D14" i="5"/>
  <c r="D18" i="5"/>
  <c r="D22" i="5"/>
  <c r="D26" i="5"/>
  <c r="D30" i="5"/>
  <c r="D35" i="5"/>
  <c r="D38" i="5"/>
  <c r="D41" i="5"/>
  <c r="D44" i="5"/>
  <c r="D48" i="5"/>
  <c r="D52" i="5"/>
  <c r="D56" i="5"/>
  <c r="D60" i="5"/>
  <c r="D64" i="5"/>
  <c r="D68" i="5"/>
  <c r="D70" i="5"/>
  <c r="D72" i="5"/>
  <c r="D74" i="5"/>
  <c r="D76" i="5"/>
  <c r="D78" i="5"/>
  <c r="D80" i="5"/>
  <c r="D81" i="5"/>
  <c r="D83" i="5"/>
  <c r="D85" i="5"/>
  <c r="D87" i="5"/>
  <c r="D89" i="5"/>
  <c r="D91" i="5"/>
  <c r="D93" i="5"/>
  <c r="D95" i="5"/>
  <c r="D97" i="5"/>
  <c r="D99" i="5"/>
  <c r="D101" i="5"/>
  <c r="D103" i="5"/>
  <c r="D105" i="5"/>
  <c r="D107" i="5"/>
  <c r="D109" i="5"/>
  <c r="D111" i="5"/>
  <c r="D113" i="5"/>
  <c r="D115" i="5"/>
  <c r="D117" i="5"/>
  <c r="D119" i="5"/>
  <c r="D121" i="5"/>
  <c r="D123" i="5"/>
  <c r="D124" i="5"/>
  <c r="D125" i="5"/>
  <c r="D126" i="5"/>
  <c r="D140" i="5" l="1"/>
</calcChain>
</file>

<file path=xl/sharedStrings.xml><?xml version="1.0" encoding="utf-8"?>
<sst xmlns="http://schemas.openxmlformats.org/spreadsheetml/2006/main" count="12863" uniqueCount="3956">
  <si>
    <t>Kundenkonto</t>
  </si>
  <si>
    <t>Bezeichnung Kunde</t>
  </si>
  <si>
    <t>Bisheriges YCOA-Konto</t>
  </si>
  <si>
    <t>Bezeichnung bisheriges YCOA</t>
  </si>
  <si>
    <t>Bilanzposition Kunde (aus Z)</t>
  </si>
  <si>
    <t>Bilanzposition bisheriges YCOA (aus Y)</t>
  </si>
  <si>
    <t>Ergebnis Bezeichnungsprüfung (OK/Abweichung)</t>
  </si>
  <si>
    <t>Ergebnis Bilanzprüfung (OK/Abweichung/nicht prüfbar)</t>
  </si>
  <si>
    <t>Neues YCOA-Konto</t>
  </si>
  <si>
    <t>Bezeichnung neues YCOA</t>
  </si>
  <si>
    <t>Bilanzposition neues YCOA</t>
  </si>
  <si>
    <t>Begründung</t>
  </si>
  <si>
    <t>Konfidenz (hoch/mittel/niedrig)</t>
  </si>
  <si>
    <t>Status (unverändert/korrigiert/Neuanlage prüfen/manuell klären)</t>
  </si>
  <si>
    <t>050000</t>
  </si>
  <si>
    <t>Software und sonstige immat. Wirtschaftsgüter</t>
  </si>
  <si>
    <t>16020000</t>
  </si>
  <si>
    <t>Geringwertige Wirtschaftsgüter</t>
  </si>
  <si>
    <t>Aktiva &gt; A. Anlagevermögen &gt; I. Immaterielle VG &gt; 1. Konzessionen, Schutzrechte, Lizenzen (Software und sonstige immaterielle WG) [1031011]</t>
  </si>
  <si>
    <t>Assets &gt; Non-Current Assets &gt; Property Plant &amp; Equipment (Net) &gt; Property Plant &amp; Equipment (Gross)</t>
  </si>
  <si>
    <t>Abweichung</t>
  </si>
  <si>
    <t>19320000</t>
  </si>
  <si>
    <t>Intangible Assets</t>
  </si>
  <si>
    <t>Assets &gt; Non-Current Assets &gt; Other Non-Current Assets &gt; Intangible Assets</t>
  </si>
  <si>
    <t>Bisher Geringwertige Wirtschaftsgüter (Sachanlagen): weder Sachverhalt noch Bilanzposition passen. Neu Intangible Assets (immaterielle Vermögensgegenstände) in Position Intangible Assets, passend zum Abschreibungskonto 64021000. 1:n beachten: Software kann je Anlagenklasse auf 16008000 Computer Software geführt werden (gleiche Position); kumulierte Abschreibung getrennt auf 19420000 bzw. 17008000 (Kunde weist netto auf einem Konto aus).</t>
  </si>
  <si>
    <t>mittel</t>
  </si>
  <si>
    <t>korrigiert</t>
  </si>
  <si>
    <t>050090</t>
  </si>
  <si>
    <t>Software Anzahlungen</t>
  </si>
  <si>
    <t>16012000</t>
  </si>
  <si>
    <t>Aktivierte Anzahlungen auf Anlagen</t>
  </si>
  <si>
    <t>Aktiva &gt; A. Anlagevermögen &gt; I. Immaterielle VG &gt; 2. Geleistete Anzahlungen [1031031]</t>
  </si>
  <si>
    <t>OK</t>
  </si>
  <si>
    <t>Bezeichnung passt (Anzahlungen auf Anlagen), 16012000 liegt aber in Property Plant &amp; Equipment; der Kunde weist Anzahlungen auf immaterielle VG gesondert unter A.I.2 aus. In Intangible Assets existiert kein Anzahlungskonto. Neuanlage prüfen (Kopiervorlage 16012000, Zuordnung zu Intangible Assets). Rückfall ohne Neuanlage: 16012000 mit abweichendem Bilanzausweis.</t>
  </si>
  <si>
    <t>hoch</t>
  </si>
  <si>
    <t>Neuanlage prüfen</t>
  </si>
  <si>
    <t>010000</t>
  </si>
  <si>
    <t>Bauten auf eig.Grundstücken +grundstücksgl.Rechten</t>
  </si>
  <si>
    <t>64000000</t>
  </si>
  <si>
    <t>Abschreib. - Grundstücke und grundstücksgl. Rechte</t>
  </si>
  <si>
    <t>Aktiva &gt; A. Anlagevermögen &gt; II. Sachanlagen &gt; 1. Grundstücke und Bauten &gt; a) Flughafenbauten inkl. Grundstücke [1032011]</t>
  </si>
  <si>
    <t>nicht in [Y] enthalten</t>
  </si>
  <si>
    <t>16001000</t>
  </si>
  <si>
    <t>Gebäude / Buildings</t>
  </si>
  <si>
    <t>Bisher Abschreibungskonto (Aufwand, zudem nicht in [Y]) für ein Bestandskonto. Neu Gebäude in Property Plant &amp; Equipment (Gross). Grundstücksanteile je Anlagenklasse auf 16000000. Hinweis: Der Kunde führt Anschaffungskosten und Wertberichtigung auf einem Konto (Nettoausweis); in YCOA sind Bestandskonto (16xxxxxx) und Wertberichtigungskonto (17xxxxxx) getrennt – Kontenfindung FI-AA und Altdatenübernahme brutto je Anlagenklasse.</t>
  </si>
  <si>
    <t>011000</t>
  </si>
  <si>
    <t>Bebaute Wohngrundstücke (Flank. Massnahmen)</t>
  </si>
  <si>
    <t>17000000</t>
  </si>
  <si>
    <t>Wertberichtigungen Grundstücke</t>
  </si>
  <si>
    <t>Aktiva &gt; A. Anlagevermögen &gt; II. Sachanlagen &gt; 1. Grundstücke und Bauten &gt; b) Grundstücke mit Wohnbauten [1032012]</t>
  </si>
  <si>
    <t>Assets &gt; Non-Current Assets &gt; Property Plant &amp; Equipment (Net) &gt; Accumulated Depreciation</t>
  </si>
  <si>
    <t>Bisher Wertberichtigungskonto (Accumulated Depreciation) für ein Bestandskonto. Neu Gebäude; der Grundstücksanteil der bebauten Wohngrundstücke gehört je Anlagenklasse auf 16000000 (1:n). n:1 mit 010000: die Unterposition b) Grundstücke mit Wohnbauten der Kundenbilanz ist auf Kontenebene nicht mehr trennbar – über Anlagenklasse auswertbar, sonst eigenes Konto anlegen. Hinweis: Der Kunde führt Anschaffungskosten und Wertberichtigung auf einem Konto (Nettoausweis); in YCOA sind Bestandskonto (16xxxxxx) und Wertberichtigungskonto (17xxxxxx) getrennt – Kontenfindung FI-AA und Altdatenübernahme brutto je Anlagenklasse.</t>
  </si>
  <si>
    <t>012000</t>
  </si>
  <si>
    <t>Grundstücke</t>
  </si>
  <si>
    <t>Aktiva &gt; A. Anlagevermögen &gt; II. Sachanlagen &gt; 1. Grundstücke und Bauten &gt; c) Grundstücke ohne Bauten [1032013]</t>
  </si>
  <si>
    <t>16000000</t>
  </si>
  <si>
    <t>Grundstücke und grundstücksgleiche Rechte / Land &amp; Land Improvements</t>
  </si>
  <si>
    <t>Bisher Wertberichtigungskonto (Accumulated Depreciation) für ein Bestandskonto. Neu Grundstücke und grundstücksgleiche Rechte in Property Plant &amp; Equipment (Gross).</t>
  </si>
  <si>
    <t>013000</t>
  </si>
  <si>
    <t>Grundstücksgleiche Rechte ohne Bauten</t>
  </si>
  <si>
    <t>Grundstücke und grundstücksgleiche Rechte</t>
  </si>
  <si>
    <t>Aktiva &gt; A. Anlagevermögen &gt; II. Sachanlagen &gt; 1. Grundstücke und Bauten &gt; d) Erbbaurechte [1032014]</t>
  </si>
  <si>
    <t>Bezeichnung und Bilanzposition passen. n:1 mit 012000: die Unterpositionen c) Grundstücke ohne Bauten und d) Erbbaurechte der Kundenbilanz sind auf Kontenebene nicht mehr trennbar (über Anlagenklasse auswertbar). Hinweis: Der Kunde führt Anschaffungskosten und Wertberichtigung auf einem Konto (Nettoausweis); in YCOA sind Bestandskonto (16xxxxxx) und Wertberichtigungskonto (17xxxxxx) getrennt – Kontenfindung FI-AA und Altdatenübernahme brutto je Anlagenklasse.</t>
  </si>
  <si>
    <t>unverändert</t>
  </si>
  <si>
    <t>020000</t>
  </si>
  <si>
    <t>Außenanlagen / Flughafenanlagen</t>
  </si>
  <si>
    <t>TBD</t>
  </si>
  <si>
    <t>Aktiva &gt; A. Anlagevermögen &gt; II. Sachanlagen &gt; 2. Technische Anlagen und Maschinen &gt; a) Flughafenanlagen [1032021]</t>
  </si>
  <si>
    <t>kein Mapping (TBD)</t>
  </si>
  <si>
    <t>16002000</t>
  </si>
  <si>
    <t>Machinery &amp; Equipment</t>
  </si>
  <si>
    <t>Bisher ohne Zuordnung. Der Kunde weist Flughafenanlagen unter Technische Anlagen und Maschinen aus; sinngemäß Machinery &amp; Equipment. n:1 mit 030000: die Unterpositionen a) Flughafenanlagen und b) Betriebsanlagen sind auf Kontenebene nicht mehr trennbar – bei Bedarf eigenes Konto anlegen. Hinweis: Der Kunde führt Anschaffungskosten und Wertberichtigung auf einem Konto (Nettoausweis); in YCOA sind Bestandskonto (16xxxxxx) und Wertberichtigungskonto (17xxxxxx) getrennt – Kontenfindung FI-AA und Altdatenübernahme brutto je Anlagenklasse.</t>
  </si>
  <si>
    <t>030000</t>
  </si>
  <si>
    <t>Betriebsanlagen</t>
  </si>
  <si>
    <t>Aktiva &gt; A. Anlagevermögen &gt; II. Sachanlagen &gt; 2. Technische Anlagen und Maschinen &gt; b) Betriebsanlagen [1032022]</t>
  </si>
  <si>
    <t>Bisher ohne Zuordnung. Betriebsanlagen entsprechen Technische Anlagen und Maschinen (Machinery &amp; Equipment). n:1 mit 020000 (siehe dort). Hinweis: Der Kunde führt Anschaffungskosten und Wertberichtigung auf einem Konto (Nettoausweis); in YCOA sind Bestandskonto (16xxxxxx) und Wertberichtigungskonto (17xxxxxx) getrennt – Kontenfindung FI-AA und Altdatenübernahme brutto je Anlagenklasse.</t>
  </si>
  <si>
    <t>040000</t>
  </si>
  <si>
    <t>Betriebs- und Geschäftsausstattung</t>
  </si>
  <si>
    <t>16005000</t>
  </si>
  <si>
    <t>Aktiva &gt; A. Anlagevermögen &gt; II. Sachanlagen &gt; 3. Andere Anlagen, Betriebs- und Geschäftsausstattung [1032031]</t>
  </si>
  <si>
    <t>Betriebs- und Geschäftsausstattung / Office Equipment</t>
  </si>
  <si>
    <t>Bezeichnung identisch, Bilanzposition passt. 1:n beachten: Fahrzeuge, Mobiliar, IT-Hardware und geringwertige Wirtschaftsgüter können je Anlagenklasse auf 16004000/16006000/16007000/16020000 differenziert werden. Hinweis: Der Kunde führt Anschaffungskosten und Wertberichtigung auf einem Konto (Nettoausweis); in YCOA sind Bestandskonto (16xxxxxx) und Wertberichtigungskonto (17xxxxxx) getrennt – Kontenfindung FI-AA und Altdatenübernahme brutto je Anlagenklasse.</t>
  </si>
  <si>
    <t>058009</t>
  </si>
  <si>
    <t>Im Bau befindliche Anlagen + gel. Anzahlungen</t>
  </si>
  <si>
    <t>16009000</t>
  </si>
  <si>
    <t>Anlagen im Bau</t>
  </si>
  <si>
    <t>Aktiva &gt; A. Anlagevermögen &gt; II. Sachanlagen &gt; 4. Geleistete Anzahlungen und Anlagen im Bau [1032041]</t>
  </si>
  <si>
    <t>Anlagen im Bau / Assets under Construction</t>
  </si>
  <si>
    <t>Bezeichnung (Anlagen im Bau) und Bilanzposition passen. 1:n beachten: geleistete Anzahlungen auf Sachanlagen laufen in YCOA über 16010000/16012000 (gleiche Position).</t>
  </si>
  <si>
    <t>065015</t>
  </si>
  <si>
    <t>Beteiligung FD Immobilien GmbH</t>
  </si>
  <si>
    <t>18010000</t>
  </si>
  <si>
    <t>(in [X] ohne Bezeichnung; laut [Y]: Investment Subsidiaries)</t>
  </si>
  <si>
    <t>Aktiva &gt; A. Anlagevermögen &gt; III. Finanzanlagen &gt; 1. Anteile an verbundenen Unternehmen [1033010]</t>
  </si>
  <si>
    <t>Assets &gt; Non-Current Assets &gt; Other Non-Current Assets &gt; Long-Term Investments</t>
  </si>
  <si>
    <t>Beteiligung Tochtergesellschaften / Investment Subsidiaries</t>
  </si>
  <si>
    <t>Anteile an verbundenen Unternehmen entsprechen Investment Subsidiaries (Beteiligung Tochtergesellschaften); Position Long-Term Investments passt. In [X] war die Kontonummer ohne Bezeichnung und mit Status TBD hinterlegt – bestätigt. n:1 über vier Gesellschaften: Trennung je Gesellschaft über Partnergesellschaft möglich.</t>
  </si>
  <si>
    <t>065016</t>
  </si>
  <si>
    <t>Beteiligung FD Ground Handling GmbH</t>
  </si>
  <si>
    <t>065019</t>
  </si>
  <si>
    <t>Beteiligung Flughafen Düsseldorf Security GmbH</t>
  </si>
  <si>
    <t>065022</t>
  </si>
  <si>
    <t>Beteiligung FD Energie GmbH</t>
  </si>
  <si>
    <t>065018</t>
  </si>
  <si>
    <t>Beteiligung SITA Airport IT GmbH</t>
  </si>
  <si>
    <t>Aktiva &gt; A. Anlagevermögen &gt; III. Finanzanlagen &gt; 2. Beteiligungen [1033030/00]</t>
  </si>
  <si>
    <t>18020000</t>
  </si>
  <si>
    <t>Other Long Term Investments</t>
  </si>
  <si>
    <t>Beteiligung (Bilanzposition A.III.2 des Kunden), kein verbundenes Unternehmen; 18010000 ist den Tochtergesellschaften vorbehalten, sonst geht die Trennung Anteile an verbundenen Unternehmen / Beteiligungen verloren. Neu Other Long Term Investments (gleiche SAP-Position Long-Term Investments). Bezeichnung des Zielkontos ist generisch; ein eigenes Konto Beteiligungen wäre die saubere Alternative.</t>
  </si>
  <si>
    <t>065025</t>
  </si>
  <si>
    <t>Beteiligung Flughafengesell. Mönchengladbach GmbH</t>
  </si>
  <si>
    <t>067000</t>
  </si>
  <si>
    <t>Beteiligung Swissport DUS Cargo Sevices GmbH</t>
  </si>
  <si>
    <t>066002</t>
  </si>
  <si>
    <t>Darlehen Flughafen Düsseldorf Cargo GmbH</t>
  </si>
  <si>
    <t>19110000</t>
  </si>
  <si>
    <t>Sonstige Darlehen - langfristig</t>
  </si>
  <si>
    <t>Aktiva &gt; A. Anlagevermögen &gt; III. Finanzanlagen &gt; 3. Ausleihungen an Unternehmen mit Beteiligungsverhältnis (Restlaufzeit &gt; 1 Jahr) [1033042]</t>
  </si>
  <si>
    <t>Bezeichnung des bisherigen Kontos passt (langfristiges Darlehen), 19110000 ist aber in [Y] nicht vorhanden – Bilanzposition nicht belegbar. In Long-Term Investments gibt es kein Konto für Ausleihungen an Beteiligungsunternehmen (Bilanzposition A.III.3 des Kunden, nach § 266 HGB gesondert auszuweisen). Neuanlage prüfen. Rückfall: 18020000 (Verlust des gesonderten Ausweises) oder 19110000 aus [X] nach Anlage im Buchungskreis und Zuordnung in der Bilanzstruktur.</t>
  </si>
  <si>
    <t>064009</t>
  </si>
  <si>
    <t>Arbeitgeberdarlehen - Hauptbuchkonto</t>
  </si>
  <si>
    <t>Aktiva &gt; A. Anlagevermögen &gt; III. Finanzanlagen &gt; 4. Sonstige Ausleihungen [1033062]</t>
  </si>
  <si>
    <t>14107000</t>
  </si>
  <si>
    <t>Mitarbeiterdarlehen / Loans to Staff</t>
  </si>
  <si>
    <t>Bisher ohne Zuordnung. Arbeitgeberdarlehen entsprechen Mitarbeiterdarlehen (Loans to Staff) in Long-Term Investments; Position Sonstige Ausleihungen passt sinngemäß.</t>
  </si>
  <si>
    <t>099200</t>
  </si>
  <si>
    <t>Wertberichtigung Altbestand Lagermaterial</t>
  </si>
  <si>
    <t>17009000</t>
  </si>
  <si>
    <t>Wertberichtigung - Anlagen im Bau</t>
  </si>
  <si>
    <t>Aktiva &gt; B. Umlaufvermögen &gt; I. Vorräte &gt; 1. Roh-, Hilfs- und Betriebsstoffe [1041010]</t>
  </si>
  <si>
    <t>13100900</t>
  </si>
  <si>
    <t>Inventory - Revaluation Raw Material</t>
  </si>
  <si>
    <t>Assets &gt; Current Assets &gt; Inventories</t>
  </si>
  <si>
    <t>Bisher Wertberichtigung Anlagen im Bau (Anlagevermögen) für eine Wertberichtigung auf Lagermaterial. Neu Inventory - Revaluation Raw Material in Position Inventories (Bewertungsabschlag auf RHB-Bestand).</t>
  </si>
  <si>
    <t>300019</t>
  </si>
  <si>
    <t>Material für Kraftfahrzeugwerkstatt</t>
  </si>
  <si>
    <t>65200000</t>
  </si>
  <si>
    <t>Sonstiges Material</t>
  </si>
  <si>
    <t>Net Income &gt; Operating Income &gt; Operating Expense &gt; Employee Expense &gt; Office Expense</t>
  </si>
  <si>
    <t>13100000</t>
  </si>
  <si>
    <t>Inventory - Raw Material</t>
  </si>
  <si>
    <t>Bisher Aufwandskonto Sonstiges Material (Office Expense).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</si>
  <si>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300029</t>
  </si>
  <si>
    <t>Material für Klempnerei</t>
  </si>
  <si>
    <t>300039</t>
  </si>
  <si>
    <t>Material für Schreinerei / Schlüsseldienst</t>
  </si>
  <si>
    <t>52544000</t>
  </si>
  <si>
    <t>Ertr. aus Preisdifferenzen - Material-Ledger (LKW)</t>
  </si>
  <si>
    <t>Net Income &gt; Operating Income &gt; Other Operating Revenue</t>
  </si>
  <si>
    <t>Bisher Ertragskonto Preisdifferenzen Material-Ledger.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</si>
  <si>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300049</t>
  </si>
  <si>
    <t>Material für Normteile</t>
  </si>
  <si>
    <t>300059</t>
  </si>
  <si>
    <t>Material für Mechanikerwerkstatt</t>
  </si>
  <si>
    <t>300069</t>
  </si>
  <si>
    <t>Material für Heizungsdienst</t>
  </si>
  <si>
    <t>300079</t>
  </si>
  <si>
    <t>Material für Schlosserei</t>
  </si>
  <si>
    <t>300089</t>
  </si>
  <si>
    <t>Material für Elektrowerkstatt</t>
  </si>
  <si>
    <t>300099</t>
  </si>
  <si>
    <t>Material für Hf-Werkstatt</t>
  </si>
  <si>
    <t>50300000</t>
  </si>
  <si>
    <t>Kosten des Umsatzes (HF &amp; FE ohne Kostenart)</t>
  </si>
  <si>
    <t>Net Income &gt; Operating Income &gt; Operating Expense &gt; Material Expense</t>
  </si>
  <si>
    <t>Bisher Kosten des Umsatzes (GuV).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</si>
  <si>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673505</t>
  </si>
  <si>
    <t>Aufwand Mobilitätssachbezug für MWSt</t>
  </si>
  <si>
    <t>66010000</t>
  </si>
  <si>
    <t>Aufwand Abzinsung (ZKB)</t>
  </si>
  <si>
    <t>GuV &gt; 7. Sonstige betriebliche Aufwendungen &gt; Personalnebenkosten [3082034]</t>
  </si>
  <si>
    <t>Net Income &gt; Operating Income &gt; Operating Expense &gt; Other Operating Expense</t>
  </si>
  <si>
    <t>61010000</t>
  </si>
  <si>
    <t>Sonstige Personalkosten / Payroll - Other Personnel Expenses</t>
  </si>
  <si>
    <t>Net Income &gt; Operating Income &gt; Operating Expense &gt; Employee Expense &gt; Payroll and Benefits &gt; Payroll Other</t>
  </si>
  <si>
    <t>Bisher Aufwand Abzinsung (ZKB): falsch. Aufwand aus Mobilitätssachbezügen als Personalnebenkosten; neu Payroll - Other Personnel Expenses. Umsatzsteuerbezug der Sachbezüge und Gegenkonten 889002/889003 beachten. n:1 auf 61010000 Sonstige Personalkosten – Trennung nach Art der Leistung geht verloren (lohnsteuerliche Behandlung beachten).</t>
  </si>
  <si>
    <t>300119</t>
  </si>
  <si>
    <t>Kfz-Betriebsstoffe/Heizstoffe/Öle/Enteisung</t>
  </si>
  <si>
    <t>Bisher ohne Zuordnung.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</si>
  <si>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300139</t>
  </si>
  <si>
    <t>Material für Bauabteilung</t>
  </si>
  <si>
    <t>300149</t>
  </si>
  <si>
    <t>Werkzeuge</t>
  </si>
  <si>
    <t>300159</t>
  </si>
  <si>
    <t>Berufs-und Schutzkleidung</t>
  </si>
  <si>
    <t>300169</t>
  </si>
  <si>
    <t>Material für Malerwerkstatt</t>
  </si>
  <si>
    <t>300219</t>
  </si>
  <si>
    <t>Material - Werbegeschenke &lt; 35 EUR</t>
  </si>
  <si>
    <t>Bisher ohne Zuordnung. Der Kunde führt Werbe- und Jubiläumsgeschenke als Lagerbestand unter RHB.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 Für Geschenke ist die steuerliche Trennung auf der Verbrauchsseite relevant (siehe 662xxx).</t>
  </si>
  <si>
    <t>300239</t>
  </si>
  <si>
    <t>Heizstoffe</t>
  </si>
  <si>
    <t>300249</t>
  </si>
  <si>
    <t>Enteisungsmittel</t>
  </si>
  <si>
    <t>328000</t>
  </si>
  <si>
    <t>Werbegeschenke (PR)</t>
  </si>
  <si>
    <t>328001</t>
  </si>
  <si>
    <t>Werbegeschenke (Kleingeschenke)</t>
  </si>
  <si>
    <t>330000</t>
  </si>
  <si>
    <t>Goldnadeln für Jubilare</t>
  </si>
  <si>
    <t>098000</t>
  </si>
  <si>
    <t>Pauschalwertberichtigungen auf Forderungen</t>
  </si>
  <si>
    <t>12401000</t>
  </si>
  <si>
    <t>Einzelwertberichtigungen zu Forderungen</t>
  </si>
  <si>
    <t>Aktiva &gt; B. Umlaufvermögen &gt; II. Forderungen und sonstige VG &gt; 1. Forderungen aus Lieferungen und Leistungen (Restlaufzeit ≤ 1 Jahr) [1042011]</t>
  </si>
  <si>
    <t>Assets &gt; Current Assets &gt; Accounts Receivable</t>
  </si>
  <si>
    <t>12401100</t>
  </si>
  <si>
    <t>Allowance for Doubtful Receivables(Valuation)</t>
  </si>
  <si>
    <t>Bisher Einzelwertberichtigung; Pauschalwertberichtigung ist ein anderer Sachverhalt. Neu Allowance for Doubtful Receivables (Valuation), das Wertberichtigungskonto der pauschalen Forderungsbewertung, in Accounts Receivable. Ein ausdrücklich als Pauschalwertberichtigung bezeichnetes Bilanzkonto gibt es in [Y] nicht; 12400000 (in [X]: Zweifelhafte Forderungen) eignet sich nach der Bezeichnung eher für umgegliederte zweifelhafte Forderungen. Aufwandsseite: 62020000.</t>
  </si>
  <si>
    <t>099009</t>
  </si>
  <si>
    <t>Einzelwertberichtigungen zu Forderungen / Individual Value Adjustments for Receivables</t>
  </si>
  <si>
    <t>Bezeichnung identisch, Bilanzposition Accounts Receivable passt.</t>
  </si>
  <si>
    <t>673506</t>
  </si>
  <si>
    <t>140001</t>
  </si>
  <si>
    <t>Forderungen aus L&amp;L (Kred.Debitoren)</t>
  </si>
  <si>
    <t>12530000</t>
  </si>
  <si>
    <t>Forderungen aus Zahlungskarten</t>
  </si>
  <si>
    <t>12102000</t>
  </si>
  <si>
    <t>Receivables Domestic Adjustments</t>
  </si>
  <si>
    <t>Bisher Forderungen aus Zahlungskarten. Das Konto ist das Korrekturkonto für kreditorische Debitoren (Umgliederung zum Stichtag). Neu Receivables Domestic Adjustments in Accounts Receivable; Gegenseite der Umgliederung: 21180000 Customers with a Credit Balance.</t>
  </si>
  <si>
    <t>140000</t>
  </si>
  <si>
    <t>Forderungen aus Lieferungen und Leistungen</t>
  </si>
  <si>
    <t>21725000</t>
  </si>
  <si>
    <t>RechungsabgrenzPosten – Lieferungen und Leistungen</t>
  </si>
  <si>
    <t>Liabilities and Equity &gt; Liabilities &gt; Non-Current Liabilities &gt; Provisions</t>
  </si>
  <si>
    <t>12100000</t>
  </si>
  <si>
    <t>Receivables Domestic</t>
  </si>
  <si>
    <t>Bisher passiver Abgrenzungsposten (Provisions) für ein Forderungskonto. Neu Receivables Domestic (Abstimmkonto Debitoren Inland). Ausländische Debitoren (Airlines) laufen je Abstimmkonto über 12120000.</t>
  </si>
  <si>
    <t>158011</t>
  </si>
  <si>
    <t>VR Gepäckwägen</t>
  </si>
  <si>
    <t>21700000</t>
  </si>
  <si>
    <t>Konzernverbindlichkeiten</t>
  </si>
  <si>
    <t>Forderungen aus Zahlungskarten / Accounts Receivable - Payment Cards</t>
  </si>
  <si>
    <t>Bisher Konzernverbindlichkeiten (nicht in [Y]); kein Konzernbezug. Verrechnungskonto für Einnahmen Gepäckwagen, vom Kunden unter Forderungen aus L&amp;L ausgewiesen. Für Verrechnungskonten ohne Kartenbezug gibt es in dieser Bilanzzeile kein passendes Konto: 12540000 Other Receivables bleibt den sonstigen Vermögensgegenständen vorbehalten (ein YCOA-Konto je Bilanzzeile des Kunden). Vorläufig 12530000 wie die übrigen Verrechnungskonten der Verkaufsstellen. Zu klären: Kartenabrechnung (dann 12530000) oder Umgliederung in die sonstigen Vermögensgegenstände (dann 12540000).</t>
  </si>
  <si>
    <t>niedrig</t>
  </si>
  <si>
    <t>manuell klären</t>
  </si>
  <si>
    <t>158012</t>
  </si>
  <si>
    <t>VR Parkautomaten / Concardis</t>
  </si>
  <si>
    <t>11001030</t>
  </si>
  <si>
    <t>Sonstige Zwischenbuchungen (Bar/Unterkonto)</t>
  </si>
  <si>
    <t>Assets &gt; Current Assets &gt; Cash &amp; Equivalents</t>
  </si>
  <si>
    <t>Bezeichnung als Zwischenkonto plausibel, 11001030 liegt aber in Cash &amp; Equivalents; der Kunde weist die Kartenverrechnung (Concardis/Kreditkarten) unter Forderungen aus L&amp;L aus. Neu Accounts Receivable - Payment Cards in Accounts Receivable. n:1: Trennung je Verkaufsstelle/Acquirer geht verloren (Abstimmung der Kartenabrechnungen) – bei Bedarf über Zuordnung/Profitcenter oder eigene Konten.</t>
  </si>
  <si>
    <t>158014</t>
  </si>
  <si>
    <t>VR VIP / Concardis</t>
  </si>
  <si>
    <t>158015</t>
  </si>
  <si>
    <t>VR Lounges / Concardis</t>
  </si>
  <si>
    <t>158016</t>
  </si>
  <si>
    <t>VR Verkehrsleitung / Concardis</t>
  </si>
  <si>
    <t>158017</t>
  </si>
  <si>
    <t>VR MOS Kreditkarten/Giro</t>
  </si>
  <si>
    <t>158022</t>
  </si>
  <si>
    <t>VR Fundbüro</t>
  </si>
  <si>
    <t>Bisher Konzernverbindlichkeiten (nicht in [Y]); kein Konzernbezug. Verrechnungskonto Fundbüro, vom Kunden unter Forderungen aus L&amp;L ausgewiesen. Für Verrechnungskonten ohne Kartenbezug gibt es in dieser Bilanzzeile kein passendes Konto: 12540000 Other Receivables bleibt den sonstigen Vermögensgegenständen vorbehalten (ein YCOA-Konto je Bilanzzeile des Kunden). Vorläufig 12530000 wie die übrigen Verrechnungskonten der Verkaufsstellen. Zu klären: Umgliederung in die sonstigen Vermögensgegenstände (dann 12540000).</t>
  </si>
  <si>
    <t>158023</t>
  </si>
  <si>
    <t>VR MOS / Paypal</t>
  </si>
  <si>
    <t>Wie 158012: 11001030 liegt in Cash &amp; Equivalents, Kundenausweis unter Forderungen aus L&amp;L. Neu Accounts Receivable - Payment Cards (Forderung gegen Zahlungsdienstleister PayPal); Zielkonto ist auf Zahlungskarten benannt.</t>
  </si>
  <si>
    <t>199982</t>
  </si>
  <si>
    <t>VR-Forderungen aus Schätzerlösen Pachtabgaben</t>
  </si>
  <si>
    <t>12550000</t>
  </si>
  <si>
    <t>Unbilled Revenue</t>
  </si>
  <si>
    <t>Assets &gt; Current Assets &gt; Other Current Assets</t>
  </si>
  <si>
    <t>Bisher Konzernverbindlichkeiten (nicht in [Y]) für abgegrenzte Erlöse. Fachlich passt Unbilled Revenue (noch nicht fakturierte Erlöse aus Pachtabgaben); dieses Konto liegt in [Y] jedoch in Other Current Assets, der Kunde weist unter Forderungen aus L&amp;L aus. Kein Konto erfüllt beide Kriterien. Zu klären: Ausweis in der kundeneigenen Bilanzstruktur anpassen (12550000 den Forderungen aus L&amp;L zuordnen) oder Rückfall 12540000.</t>
  </si>
  <si>
    <t>159359</t>
  </si>
  <si>
    <t>Forderungen gegen  FDI</t>
  </si>
  <si>
    <t>12110000</t>
  </si>
  <si>
    <t>Forderungen Inland (laut [Y]: Other Down Payments Made Current Assets)</t>
  </si>
  <si>
    <t>Aktiva &gt; B. Umlaufvermögen &gt; II. Forderungen und sonstige VG &gt; 2. Forderungen gegen verbundene Unternehmen (saldiert: FD Immobilien) [1042031/03]</t>
  </si>
  <si>
    <t>12300000</t>
  </si>
  <si>
    <t>Receivables affiliated Companies</t>
  </si>
  <si>
    <t>Bisher 12110000, in [X] als Forderungen Inland bezeichnet, laut [Y] aber Other Down Payments Made Current Assets (Inventories). Neu Receivables affiliated Companies in Accounts Receivable. n:1: Trennung je Gesellschaft über Partnergesellschaft/Debitor. Der Kunde saldiert Forderungen, Verbindlichkeiten, Cash-Pooling und Verrechnung je verbundenem Unternehmen in einer Position; der SAP-Standard weist unsaldiert aus.</t>
  </si>
  <si>
    <t>182159</t>
  </si>
  <si>
    <t>Verbindlichkeiten gegenüber  FDI</t>
  </si>
  <si>
    <t>21509000</t>
  </si>
  <si>
    <t>Verbindlichkeiten gegenüber Berufsgenossenschaft</t>
  </si>
  <si>
    <t>Liabilities and Equity &gt; Liabilities &gt; Current Liabilities &gt; Other Payable</t>
  </si>
  <si>
    <t>21300000</t>
  </si>
  <si>
    <t>Payables affiliated Companies</t>
  </si>
  <si>
    <t>Bisher Verbindlichkeiten gegenüber Berufsgenossenschaft (reiner Texttreffer). Neu Payables affiliated Companies (Other Payable). n:1: Trennung je Gesellschaft über Partnergesellschaft/Kreditor. Der Kunde saldiert Forderungen, Verbindlichkeiten, Cash-Pooling und Verrechnung je verbundenem Unternehmen in einer Position; der SAP-Standard weist unsaldiert aus.</t>
  </si>
  <si>
    <t>192000</t>
  </si>
  <si>
    <t>VR - FDI  - Darlehen Cash-Pooling</t>
  </si>
  <si>
    <t>12303000</t>
  </si>
  <si>
    <t>Receivables vs affil. Companies (no recon acct)</t>
  </si>
  <si>
    <t>Bisher Sonstige Darlehen langfristig (nicht in [Y]); Cash-Pooling ist kurzfristig und betrifft verbundene Unternehmen.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Bei Abbildung über Treasury (TRM) wären 12021200/22540200 einschlägig; diese sind in FPA1 nicht zugeordnet. Der Kunde saldiert Forderungen, Verbindlichkeiten, Cash-Pooling und Verrechnung je verbundenem Unternehmen in einer Position; der SAP-Standard weist unsaldiert aus.</t>
  </si>
  <si>
    <t>192200</t>
  </si>
  <si>
    <t>VR - FDI</t>
  </si>
  <si>
    <t>Bezeichnung Konzernverbindlichkeiten plausibel, 21700000 ist aber in [Y] nicht vorhanden.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Der Kunde saldiert Forderungen, Verbindlichkeiten, Cash-Pooling und Verrechnung je verbundenem Unternehmen in einer Position; der SAP-Standard weist unsaldiert aus.</t>
  </si>
  <si>
    <t>192420</t>
  </si>
  <si>
    <t>VR - FDI - Ergebnisabführung</t>
  </si>
  <si>
    <t>29110000</t>
  </si>
  <si>
    <t>Sonstige Verbindlichkeiten, Restlaufz. 1-5 Jahre</t>
  </si>
  <si>
    <t>Liabilities and Equity &gt; Liabilities &gt; Current Liabilities &gt; Accounts Payable</t>
  </si>
  <si>
    <t>Bisher Sonstige Verbindlichkeiten mit Restlaufzeit 1-5 Jahre (Accounts Payable): Fristigkeit und Sachverhalt passen nicht.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Die Verlustübernahme gegenüber FDI steht derzeit im Haben. Der Kunde saldiert Forderungen, Verbindlichkeiten, Cash-Pooling und Verrechnung je verbundenem Unternehmen in einer Position; der SAP-Standard weist unsaldiert aus.</t>
  </si>
  <si>
    <t>159319</t>
  </si>
  <si>
    <t>Forderungen gegen FDGHG</t>
  </si>
  <si>
    <t>Aktiva &gt; B. Umlaufvermögen &gt; II. Forderungen und sonstige VG &gt; 2. Forderungen gegen verbundene Unternehmen (saldiert: FD Ground Handling) [1042031/04]</t>
  </si>
  <si>
    <t>182119</t>
  </si>
  <si>
    <t>Verbindlichkeiten gegenüber FDGHG</t>
  </si>
  <si>
    <t>192030</t>
  </si>
  <si>
    <t>VR - FDGHG- Darlehen Cash-Pooling</t>
  </si>
  <si>
    <t>192230</t>
  </si>
  <si>
    <t>VR - FDGHG</t>
  </si>
  <si>
    <t>159399</t>
  </si>
  <si>
    <t>Forderungen gegen FDEG</t>
  </si>
  <si>
    <t>Aktiva &gt; B. Umlaufvermögen &gt; II. Forderungen und sonstige VG &gt; 2. Forderungen gegen verbundene Unternehmen (saldiert: FD Energie) [1042031/06]</t>
  </si>
  <si>
    <t>182199</t>
  </si>
  <si>
    <t>Verbindlichkeiten gegenüber  FDEnergie GmbH</t>
  </si>
  <si>
    <t>192080</t>
  </si>
  <si>
    <t>VR - FDEG - Darlehen Cash-Pooling</t>
  </si>
  <si>
    <t>192250</t>
  </si>
  <si>
    <t>VR - FDEG</t>
  </si>
  <si>
    <t>192450</t>
  </si>
  <si>
    <t>VR - FDEG - Ergebnisabführung</t>
  </si>
  <si>
    <t>Bisher Sonstige Verbindlichkeiten mit Restlaufzeit 1-5 Jahre: der Anspruch aus Gewinnabführung FDEG ist eine kurzfristige Forderung gegen ein verbundenes Unternehmen.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Der Kunde saldiert Forderungen, Verbindlichkeiten, Cash-Pooling und Verrechnung je verbundenem Unternehmen in einer Position; der SAP-Standard weist unsaldiert aus.</t>
  </si>
  <si>
    <t>159219</t>
  </si>
  <si>
    <t>Forderungen gegen SITA Airport IT GmbH</t>
  </si>
  <si>
    <t>Aktiva &gt; B. Umlaufvermögen &gt; II. Forderungen und sonstige VG &gt; 3. Forderungen gegen Unternehmen mit Beteiligungsverhältnis [1042041]</t>
  </si>
  <si>
    <t>Bisher 12110000, in [X] als Forderungen Inland bezeichnet, laut [Y] aber Other Down Payments Made Current Assets (Inventories). Für Forderungen gegen Unternehmen mit Beteiligungsverhältnis (§ 266 Abs. 2 B.II.3 HGB, Pflichtausweis) gibt es in [Y] kein eigenes Abstimmkonto. Neuanlage prüfen (Kopiervorlage 12300000). Rückfall: 12100000 mit Verlust des gesonderten Ausweises.</t>
  </si>
  <si>
    <t>159224</t>
  </si>
  <si>
    <t>Ford. gegen Swissport DUS Cargo Services GmbH</t>
  </si>
  <si>
    <t>151009</t>
  </si>
  <si>
    <t>Forderungen aus Arbeitgeberdarlehen        .</t>
  </si>
  <si>
    <t>Aktiva &gt; B. Umlaufvermögen &gt; II. Forderungen und sonstige VG &gt; 4. Sonstige Vermögensgegenstände (Restlaufzeit ≤ 1 Jahr) [1042051]</t>
  </si>
  <si>
    <t>12540000</t>
  </si>
  <si>
    <t>Other Receivables (no recon acct)</t>
  </si>
  <si>
    <t>Bisher 12110000, in [X] als Forderungen Inland bezeichnet, laut [Y] aber Other Down Payments Made Current Assets (Inventories). Kurzfristiger Teil der Arbeitgeberdarlehen unter Sonstige Vermögensgegenstände; 14107000 Loans to Staff liegt in Long-Term Investments und passt für den kurzfristigen Ausweis nicht. Neu Other Receivables (no recon acct).</t>
  </si>
  <si>
    <t>151019</t>
  </si>
  <si>
    <t>Lohn-u. Gehaltsüberzahlung</t>
  </si>
  <si>
    <t>15200000</t>
  </si>
  <si>
    <t>Lohn- und Gehaltsvorschüsse</t>
  </si>
  <si>
    <t>12542000</t>
  </si>
  <si>
    <t>Receivables from Employees Overpay (no recon acct)</t>
  </si>
  <si>
    <t>Bisher Lohn- und Gehaltsvorschüsse; Überzahlung ist ein anderer Sachverhalt, für den [Y] ein eigenes Konto führt. Neu Receivables from Employees Overpay (no recon acct) in Accounts Receivable.</t>
  </si>
  <si>
    <t>151109</t>
  </si>
  <si>
    <t>Sonstige Forderungen Mitarbeiter / durchl. Posten</t>
  </si>
  <si>
    <t>Bisher 12110000, in [X] als Forderungen Inland bezeichnet, laut [Y] aber Other Down Payments Made Current Assets (Inventories). Neu Other Receivables (no recon acct); kein spezifisches Konto für sonstige Mitarbeiterforderungen/durchlaufende Posten.</t>
  </si>
  <si>
    <t>151119</t>
  </si>
  <si>
    <t>Kurzfr. Ford. aus Lohn/Gehaltsvorschüssen</t>
  </si>
  <si>
    <t>Lohn- und Gehaltsvorschüsse / Salary and Wages Advances</t>
  </si>
  <si>
    <t>Bisher 12110000, in [X] als Forderungen Inland bezeichnet, laut [Y] aber Other Down Payments Made Current Assets (Inventories). Neu Salary and Wages Advances (Lohn- und Gehaltsvorschüsse) in Accounts Receivable.</t>
  </si>
  <si>
    <t>151129</t>
  </si>
  <si>
    <t>Kurzfr. Ford. aus Lohn/Gehaltsabschlägen</t>
  </si>
  <si>
    <t>Bisher 12110000, in [X] als Forderungen Inland bezeichnet, laut [Y] aber Other Down Payments Made Current Assets (Inventories). Abschlagszahlungen sind Vorauszahlungen auf Lohn/Gehalt; neu Salary and Wages Advances. n:1 mit 151119.</t>
  </si>
  <si>
    <t>157009</t>
  </si>
  <si>
    <t>Sonstige Forderungen                        .</t>
  </si>
  <si>
    <t>Bisher 12110000, in [X] als Forderungen Inland bezeichnet, laut [Y] aber Other Down Payments Made Current Assets (Inventories). Neu Other Receivables (no recon acct) in Accounts Receivable.</t>
  </si>
  <si>
    <t>157100</t>
  </si>
  <si>
    <t>Sonstige Forderungen (incl. Debit. Kreditoren)</t>
  </si>
  <si>
    <t>Bisher 12110000, in [X] als Forderungen Inland bezeichnet, laut [Y] aber Other Down Payments Made Current Assets (Inventories). Neu Other Receivables (no recon acct). 1:n beachten: der Anteil debitorische Kreditoren wird in YCOA über 12590000 Vendors with a Debit Balance umgegliedert.</t>
  </si>
  <si>
    <t>157920</t>
  </si>
  <si>
    <t>Sonst. Forderungen aus überzahlter KSt.</t>
  </si>
  <si>
    <t>12541000</t>
  </si>
  <si>
    <t>Receivables from Tax Authorities (no recon acct)</t>
  </si>
  <si>
    <t>Bisher 12110000, in [X] als Forderungen Inland bezeichnet, laut [Y] aber Other Down Payments Made Current Assets (Inventories). Erstattungsanspruch Körperschaftsteuer: neu Receivables from Tax Authorities (no recon acct). Das Konto liegt in Other Current Assets, was dem Kundenausweis Sonstige Vermögensgegenstände sinngemäß entspricht.</t>
  </si>
  <si>
    <t>174200</t>
  </si>
  <si>
    <t>FA-Dus-Nord - Umsatzsteuer</t>
  </si>
  <si>
    <t>22006012</t>
  </si>
  <si>
    <t>Gezahlte Umsatzsteuer</t>
  </si>
  <si>
    <t>22090000</t>
  </si>
  <si>
    <t>Alterative Tax Payable  - UMS</t>
  </si>
  <si>
    <t>Bisher Gezahlte Umsatzsteuer (nicht in [Y], vermutlich Länderversion). Das Kundenkonto ist das Verrechnungskonto Umsatzsteuer mit dem Finanzamt (Zahllast/Erstattung). Neu Alterative Tax Payable - UMS (Zahllastkonto der Umsatzsteuer-Voranmeldung) in Other Current Assets. Bei Zahllast (Habensaldo) weist der Kunde unter sonstige Verbindlichkeiten aus Steuern aus; das Konto bleibt im SAP-Standard in Other Current Assets. Alternative bei reinem Forderungscharakter: 12541000.</t>
  </si>
  <si>
    <t>157300</t>
  </si>
  <si>
    <t>Steuerschuld gg.Zoll</t>
  </si>
  <si>
    <t>12402000</t>
  </si>
  <si>
    <t>Wertberichtigungen zu Forderungen gg. Verbundene</t>
  </si>
  <si>
    <t>Aktiva &gt; B. Umlaufvermögen &gt; II. Forderungen und sonstige VG &gt; 4. Sonstige Vermögensgegenstände (Steuerverrechnung Zoll/Stromsteuer, saldoabhängig) [1042052] | Passiva &gt; E. Verbindlichkeiten &gt; 7. Sonstige Verbindlichkeiten &gt; aus Steuern (Steuerverrechnung Zoll/Stromsteuer, saldoabhängig) [2048038]</t>
  </si>
  <si>
    <t>Assets &gt; Current Assets &gt; Notes Receivable</t>
  </si>
  <si>
    <t>21538000</t>
  </si>
  <si>
    <t>Sonstige Steuer - zu zahlen</t>
  </si>
  <si>
    <t>nicht in [Y] enthalten (Konto nur aus [X])</t>
  </si>
  <si>
    <t>Bisher Wertberichtigung auf Forderungen gegen Verbundene: falsch. Das Konto ist eine Steuerschuld gegenüber dem Zoll (Strom-/Energiesteuer) und steht in [Z] saldoabhängig auf beiden Bilanzseiten (1042052 und 2048038, gemeinsam mit 195500). In [Y] gibt es kein Konto für Verbindlichkeiten aus sonstigen Steuern. Vorläufig 21538000 Sonstige Steuer - zu zahlen aus [X]: nicht in [Y], Bilanzposition daher nicht belegbar – Anlage im Buchungskreis und Zuordnung zu Other Payable erforderlich, sonst Neuanlage. Rückfall: 21720000.</t>
  </si>
  <si>
    <t>195500</t>
  </si>
  <si>
    <t>VR - Stromsteuer</t>
  </si>
  <si>
    <t>(in [X] ohne Bezeichnung; sonst in [X]: Konzernverbindlichkeiten)</t>
  </si>
  <si>
    <t>Bisher 21700000 (in [X] ohne Bezeichnung, nicht in [Y]). Verrechnungskonto Stromsteuer mit Sollsaldo (Vorauszahlungen); neu Receivables from Tax Authorities (no recon acct) in Other Current Assets. In [Z] zusammen mit 157300 saldoabhängig auf beiden Bilanzseiten ausgewiesen.</t>
  </si>
  <si>
    <t>194500</t>
  </si>
  <si>
    <t>VR - Hausgeld Niederrheinstr. 185</t>
  </si>
  <si>
    <t>Aktiva &gt; B. Umlaufvermögen &gt; II. Forderungen und sonstige VG &gt; 4. Sonstige Vermögensgegenstände (übrige Verrechnungskonten) [1042054]</t>
  </si>
  <si>
    <t>Bisher 21700000 (in [X] ohne Bezeichnung, nicht in [Y]). Verrechnungskonto Hausgeld mit Sollsaldo unter Sonstige Vermögensgegenstände; neu Other Receivables (no recon acct).</t>
  </si>
  <si>
    <t>195024</t>
  </si>
  <si>
    <t>VR -Spende PET</t>
  </si>
  <si>
    <t>Aktiva &gt; B. Umlaufvermögen &gt; II. Forderungen und sonstige VG &gt; 4. Sonstige Vermögensgegenstände (übrige Verrechnungskonten) [1042054] | Passiva &gt; E. Verbindlichkeiten &gt; 7. Sonstige Verbindlichkeiten &gt; andere sonstige Verbindlichkeiten (übrige, Verrechnungskonten) [2048032]</t>
  </si>
  <si>
    <t>21720000</t>
  </si>
  <si>
    <t>Other Payables (no recon acct)</t>
  </si>
  <si>
    <t>Bisher 21700000 (in [X] ohne Bezeichnung, nicht in [Y]). Durchlaufposten Spenden; in [Z] saldoabhängig in zwei Positionen (2024 Sonstige VG, 2025 Sonstige Verbindlichkeiten). Neu Other Payables (no recon acct) entsprechend dem aktuellen Habensaldo; bei Sollsaldo Ausweis über 12540000.</t>
  </si>
  <si>
    <t>195028</t>
  </si>
  <si>
    <t>VR-Leasing Mobilität</t>
  </si>
  <si>
    <t>Aktiva &gt; B. Umlaufvermögen &gt; II. Forderungen und sonstige VG &gt; 4. Sonstige Vermögensgegenstände (Restlaufzeit &gt; 1 Jahr) [1042055]</t>
  </si>
  <si>
    <t>19210000</t>
  </si>
  <si>
    <t>Other Receivables &gt; 1 year</t>
  </si>
  <si>
    <t>Bisher 21700000 (in [X] ohne Bezeichnung, nicht in [Y]). Der Kunde weist das Konto unter Sonstige Vermögensgegenstände mit Restlaufzeit über einem Jahr aus; neu Other Receivables &gt; 1 year (Notes Receivable), womit die Fristigkeit erhalten bleibt.</t>
  </si>
  <si>
    <t>102000</t>
  </si>
  <si>
    <t>Postbank Essen</t>
  </si>
  <si>
    <t>11001000</t>
  </si>
  <si>
    <t>(in [X] ohne Bezeichnung; laut [Y]: Main Bank Account (Cash/B))</t>
  </si>
  <si>
    <t>Aktiva &gt; B. Umlaufvermögen &gt; III. Flüssige Mittel (Kassenbestand, Guthaben bei Kreditinstituten) [1044000/01]</t>
  </si>
  <si>
    <t>Hauptbankkonto (Bar/B) / Main Bank Account (Cash/B)</t>
  </si>
  <si>
    <t>Bankkonto in Cash &amp; Equivalents: Bezeichnung (Hauptbankkonto) und Position passen; in [X] war die Kontonummer ohne Bezeichnung und mit Status TBD hinterlegt – bestätigt. n:1 ohne Informationsverlust, da 11001000 ein Bankabstimmkonto ist und die einzelnen Bankkonten über Hausbank/Konto-ID geführt werden; Bankunterkonten 110010xx je Zahlweg.</t>
  </si>
  <si>
    <t>110000</t>
  </si>
  <si>
    <t>Stadt-Sparkasse Düsseldorf</t>
  </si>
  <si>
    <t>Aktiva &gt; B. Umlaufvermögen &gt; III. Flüssige Mittel (Kassenbestand, Guthaben bei Kreditinstituten) [1044000/02]</t>
  </si>
  <si>
    <t>110001</t>
  </si>
  <si>
    <t>Stadt-Sparkasse Düsseldorf - Tagesgeldkonto</t>
  </si>
  <si>
    <t>110013</t>
  </si>
  <si>
    <t>Stadt-Sparkasse Dus - APCOA</t>
  </si>
  <si>
    <t>110014</t>
  </si>
  <si>
    <t>Stadt-Sparkasse Düsseldorf - Werbegemeinschaft</t>
  </si>
  <si>
    <t>110017</t>
  </si>
  <si>
    <t>Stadt-Sparkasse Düsseldorf Fioport</t>
  </si>
  <si>
    <t>111000</t>
  </si>
  <si>
    <t>Landesbank Hessen Thüringen (Helaba)</t>
  </si>
  <si>
    <t>Aktiva &gt; B. Umlaufvermögen &gt; III. Flüssige Mittel (Kassenbestand, Guthaben bei Kreditinstituten) [1044000/03]</t>
  </si>
  <si>
    <t>117170</t>
  </si>
  <si>
    <t>Commerzbank AG, Düsseldorf</t>
  </si>
  <si>
    <t>Aktiva &gt; B. Umlaufvermögen &gt; III. Flüssige Mittel (Kassenbestand, Guthaben bei Kreditinstituten) [1044000/10]</t>
  </si>
  <si>
    <t>110300</t>
  </si>
  <si>
    <t>Termingeld/Festgeld</t>
  </si>
  <si>
    <t>12010000</t>
  </si>
  <si>
    <t>(in [X] ohne Bezeichnung; sonst in [X]: Kurzfristige Investitionen)</t>
  </si>
  <si>
    <t>Aktiva &gt; B. Umlaufvermögen &gt; III. Flüssige Mittel (Kassenbestand, Guthaben bei Kreditinstituten) [1044000/13]</t>
  </si>
  <si>
    <t>Bezeichnung Kurzfristige Investitionen wäre plausibel, 12010000 ist aber in [Y] nicht vorhanden. Der Kunde weist Termingeld unter Flüssige Mittel aus; neu Bankabstimmkonto 11001000 (eigene Hausbankkonto-ID). Bei Abbildung über Treasury (TRM) wäre 12021000 einschlägig; dieses Konto ist in FPA1 nicht zugeordnet.</t>
  </si>
  <si>
    <t>120000</t>
  </si>
  <si>
    <t>Landesbank Baden-Württemberg</t>
  </si>
  <si>
    <t>Aktiva &gt; B. Umlaufvermögen &gt; III. Flüssige Mittel (Kassenbestand, Guthaben bei Kreditinstituten) [1044000/16]</t>
  </si>
  <si>
    <t>120001</t>
  </si>
  <si>
    <t>Landesbank Baden-Württemberg-Liquiditätskonto</t>
  </si>
  <si>
    <t>117010</t>
  </si>
  <si>
    <t>Bayern LB</t>
  </si>
  <si>
    <t>Aktiva &gt; B. Umlaufvermögen &gt; III. Flüssige Mittel (Kassenbestand, Guthaben bei Kreditinstituten) [1044000/17]</t>
  </si>
  <si>
    <t>117100</t>
  </si>
  <si>
    <t>Bayerische Hypo- und Vereinsbank AG</t>
  </si>
  <si>
    <t>Aktiva &gt; B. Umlaufvermögen &gt; III. Flüssige Mittel (Kassenbestand, Guthaben bei Kreditinstituten) [1044000/18]</t>
  </si>
  <si>
    <t>117110</t>
  </si>
  <si>
    <t>DZ Bank (vormals WGZ Bank)</t>
  </si>
  <si>
    <t>Aktiva &gt; B. Umlaufvermögen &gt; III. Flüssige Mittel (Kassenbestand, Guthaben bei Kreditinstituten) [1044000/19]</t>
  </si>
  <si>
    <t>120100</t>
  </si>
  <si>
    <t>Nord LB - Girokonto</t>
  </si>
  <si>
    <t>Aktiva &gt; B. Umlaufvermögen &gt; III. Flüssige Mittel (Kassenbestand, Guthaben bei Kreditinstituten) [1044000/20]</t>
  </si>
  <si>
    <t>120101</t>
  </si>
  <si>
    <t>Nord LB - Business Girokonto</t>
  </si>
  <si>
    <t>120110</t>
  </si>
  <si>
    <t>Nord LB - Kapital Plus Business</t>
  </si>
  <si>
    <t>100000</t>
  </si>
  <si>
    <t>Hauptkasse</t>
  </si>
  <si>
    <t>10010000</t>
  </si>
  <si>
    <t>(in [X] ohne Bezeichnung; laut [Y]: Petty Cash)</t>
  </si>
  <si>
    <t>Aktiva &gt; B. Umlaufvermögen &gt; III. Flüssige Mittel (Kassenbestand, Guthaben bei Kreditinstituten) [1044000/00]</t>
  </si>
  <si>
    <t>Petty Cash</t>
  </si>
  <si>
    <t>Kasse in Cash &amp; Equivalents: Petty Cash passt nach Bezeichnung und Position; in [X] war die Kontonummer ohne Bezeichnung und mit Status TBD hinterlegt – bestätigt. n:1 über vier Kassen: je Kassenbuch ist ein eigenes Sachkonto üblich – bei Bedarf weitere Kassenkonten anlegen.</t>
  </si>
  <si>
    <t>101000</t>
  </si>
  <si>
    <t>Portokasse</t>
  </si>
  <si>
    <t>101117</t>
  </si>
  <si>
    <t>Nebenkasse - Gerichtskostenmarken</t>
  </si>
  <si>
    <t>101125</t>
  </si>
  <si>
    <t>Wechselgeld - Kiss &amp; Fly</t>
  </si>
  <si>
    <t>091000</t>
  </si>
  <si>
    <t>Aktive Rechnungsabgrenzung</t>
  </si>
  <si>
    <t>12561000</t>
  </si>
  <si>
    <t>Aktiva &gt; C. Rechnungsabgrenzungsposten [1062000]</t>
  </si>
  <si>
    <t>Aktive Rechnungsabgrenzung / Prepaid Expenses</t>
  </si>
  <si>
    <t>Bezeichnung identisch, Position Other Current Assets entspricht dem aktiven Rechnungsabgrenzungsposten (in [X] mit Status TBD hinterlegt – bestätigt).</t>
  </si>
  <si>
    <t>064110</t>
  </si>
  <si>
    <t>Aktivposten Ausfinanzerung ATZ</t>
  </si>
  <si>
    <t>Aktiva &gt; D. Aktiver Unterschiedsbetrag aus der Vermögensverrechnung [1080000]</t>
  </si>
  <si>
    <t>Bisher ohne Zuordnung. Aktiver Unterschiedsbetrag aus der Vermögensverrechnung (§ 246 Abs. 2 HGB, Deckungsvermögen Altersteilzeit): weder ein passendes YCOA-Konto noch eine entsprechende Position im SAP-Standard vorhanden. Neuanlage und eigene Bilanzposition prüfen.</t>
  </si>
  <si>
    <t>140010</t>
  </si>
  <si>
    <t>Bisher passiver Abgrenzungsposten (Provisions) für ein Forderungskonto. Neu Receivables Domestic. n:1 mit 140000: Abgrenzung der beiden Kundenkonten klären (zweites Abstimmkonto?); bei Auslandsdebitoren 12120000.</t>
  </si>
  <si>
    <t>080000</t>
  </si>
  <si>
    <t>Gezeichnetes Kapital</t>
  </si>
  <si>
    <t>32100000</t>
  </si>
  <si>
    <t>Eingezahltes Kapital aus eigenen Anteilen</t>
  </si>
  <si>
    <t>Passiva &gt; A. Eigenkapital &gt; I. Gezeichnetes Kapital [2011000]</t>
  </si>
  <si>
    <t>Liabilities and Equity &gt; Equity &gt; Equity - Reserve Accounts</t>
  </si>
  <si>
    <t>31000000</t>
  </si>
  <si>
    <t>Common Stock</t>
  </si>
  <si>
    <t>Liabilities and Equity &gt; Equity &gt; Equity - Subscribed Capital</t>
  </si>
  <si>
    <t>Bisher Eingezahltes Kapital aus eigenen Anteilen (Equity - Reserve Accounts): anderer Sachverhalt und andere Position. Neu Common Stock (gezeichnetes Kapital) in Equity - Subscribed Capital.</t>
  </si>
  <si>
    <t>080010</t>
  </si>
  <si>
    <t>Kapitalrücklage</t>
  </si>
  <si>
    <t>24098300</t>
  </si>
  <si>
    <t>Passiva &gt; A. Eigenkapital &gt; II. Kapitalrücklage [2012000]</t>
  </si>
  <si>
    <t>Kapitalrücklage / Capital Reserve</t>
  </si>
  <si>
    <t>Bezeichnung identisch (Kapitalrücklage), Position Equity - Reserve Accounts passt.</t>
  </si>
  <si>
    <t>093000</t>
  </si>
  <si>
    <t>Rücklagen - zur Ausschüttung gesperrt</t>
  </si>
  <si>
    <t>24098200</t>
  </si>
  <si>
    <t>Gewinnrücklagen</t>
  </si>
  <si>
    <t>Passiva &gt; A. Eigenkapital &gt; III. Gewinnrücklagen (andere Gewinnrücklagen) [2013000]</t>
  </si>
  <si>
    <t>24098600</t>
  </si>
  <si>
    <t>Other Reserves</t>
  </si>
  <si>
    <t>Bezeichnung Gewinnrücklagen passt, 24098200 ist aber in [Y] nicht vorhanden. Neu Other Reserves (andere Rücklagen) in Equity - Reserve Accounts, entsprechend dem Kundenausweis andere Gewinnrücklagen. n:1: die Trennung der drei Rücklagen (ausschüttungsgesperrt, Investitionszulage, Abzugsbeträge) geht verloren – für die Ausschüttungssperre relevant, eigene Konten prüfen.</t>
  </si>
  <si>
    <t>094000</t>
  </si>
  <si>
    <t>Rücklagen aus Invest.-Zul.-Gesetz               .</t>
  </si>
  <si>
    <t>094010</t>
  </si>
  <si>
    <t>Rücklagen Abzugsbeträge für Azubi            .</t>
  </si>
  <si>
    <t>080200</t>
  </si>
  <si>
    <t>Gewinn- und Verlustvortrag</t>
  </si>
  <si>
    <t>90002000</t>
  </si>
  <si>
    <t>Abgegrenzter Verlustvortrag</t>
  </si>
  <si>
    <t>Passiva &gt; A. Eigenkapital &gt; IV. Gewinn-/Verlustvortrag [2014000]</t>
  </si>
  <si>
    <t>Not assigned (in FPA1 keiner Position zugeordnet)</t>
  </si>
  <si>
    <t>33000000</t>
  </si>
  <si>
    <t>Retained Earnings</t>
  </si>
  <si>
    <t>Bisher Abgegrenzter Verlustvortrag (steuerlicher Verlustvortrag, in FPA1 nicht zugeordnet): anderer Sachverhalt. Neu Retained Earnings (Ergebnisvortragskonto), das in FPA1 unter Equity - Subscribed Capital geführt wird.</t>
  </si>
  <si>
    <t>781200</t>
  </si>
  <si>
    <t>KALK. ZINSEN</t>
  </si>
  <si>
    <t>64060000</t>
  </si>
  <si>
    <t>Kalkulatorische Zinsen (CO)</t>
  </si>
  <si>
    <t>Außerhalb GuV &gt; Verrechnung kalkulatorische Kosten (Saldo null) [9020000]</t>
  </si>
  <si>
    <t>Kalkulatorische Zinsen (CO) / Accrued interest (CO)</t>
  </si>
  <si>
    <t>Bezeichnung passt (Kalkulatorische Zinsen). n:1: die Trennung nach Anlagengruppe geht verloren (Entgeltkalkulation). Kalkulatorische Konten stehen beim Kunden außerhalb der GuV (Saldo null) und im SAP-Standard außerhalb der Bilanzstruktur (Not assigned) – sinngemäß gleiche Position. Das Kalkulatorik-Konzept (Bewertungsbereich der Anlagenbuchhaltung, Ledger) ist gesondert festzulegen.</t>
  </si>
  <si>
    <t>094045</t>
  </si>
  <si>
    <t>Zuschussrücklage Bundespolizei</t>
  </si>
  <si>
    <t>24098400</t>
  </si>
  <si>
    <t>Gesetzliche Rücklage</t>
  </si>
  <si>
    <t>Passiva &gt; B. Sonderposten für Investitionszuschüsse zu Sachanlagen [2024000]</t>
  </si>
  <si>
    <t>Bisher Gesetzliche Rücklage (Eigenkapital); ein Sonderposten für Investitionszuschüsse ist kein Eigenkapital. In [Y] existiert weder ein Konto noch eine Bilanzposition für Sonderposten. Neuanlage und eigene Bilanzposition zwischen Eigenkapital und Rückstellungen prüfen; ein Rückfall auf Eigenkapital- oder Rückstellungskonten wäre ein Fehlausweis.</t>
  </si>
  <si>
    <t>094080</t>
  </si>
  <si>
    <t>Zuschussrücklage Sky Train</t>
  </si>
  <si>
    <t>094090</t>
  </si>
  <si>
    <t>Zuschussrücklage Check-In-Halle</t>
  </si>
  <si>
    <t>094020</t>
  </si>
  <si>
    <t>Sopo Parkhäuser</t>
  </si>
  <si>
    <t>Passiva &gt; C. Sonderposten mit Rücklageanteil [2021003]</t>
  </si>
  <si>
    <t>Bisher ohne Zuordnung. Sonderposten mit Rücklageanteil. In [Y] existiert weder ein Konto noch eine Bilanzposition für Sonderposten. Neuanlage und eigene Bilanzposition zwischen Eigenkapital und Rückstellungen prüfen; ein Rückfall auf Eigenkapital- oder Rückstellungskonten wäre ein Fehlausweis.</t>
  </si>
  <si>
    <t>094021</t>
  </si>
  <si>
    <t>§6b Rücklage BISAWA</t>
  </si>
  <si>
    <t>Bisher Kapitalrücklage (Eigenkapital); die § 6b-Rücklage ist ein Sonderposten mit Rücklageanteil. In [Y] existiert weder ein Konto noch eine Bilanzposition für Sonderposten. Neuanlage und eigene Bilanzposition zwischen Eigenkapital und Rückstellungen prüfen; ein Rückfall auf Eigenkapital- oder Rückstellungskonten wäre ein Fehlausweis.</t>
  </si>
  <si>
    <t>096000</t>
  </si>
  <si>
    <t>Rückstellung für Versorgungszusagen</t>
  </si>
  <si>
    <t>21770000</t>
  </si>
  <si>
    <t>Bonusrückstellung</t>
  </si>
  <si>
    <t>Passiva &gt; D. Rückstellungen &gt; 1. Rückstellungen für Pensionen und ähnliche Verpflichtungen [2031000]</t>
  </si>
  <si>
    <t>24031000</t>
  </si>
  <si>
    <t>Rückst. für Pensionen und ähnliche Verpflichtungen / Pension Provision</t>
  </si>
  <si>
    <t>Bisher Bonusrückstellung (Accrued Volume Rebate, Kundenboni): anderer Sachverhalt. Neu Pension Provision (Rückstellungen für Pensionen und ähnliche Verpflichtungen) in Provisions.</t>
  </si>
  <si>
    <t>096100</t>
  </si>
  <si>
    <t>Rückstellung für Beihilfezahlungen</t>
  </si>
  <si>
    <t>Bisher Bonusrückstellung (Kundenboni): anderer Sachverhalt. Beihilfeverpflichtungen zählt der Kunde zu den pensionsähnlichen Verpflichtungen; neu Pension Provision. n:1 mit 096000 (Versorgungszusagen/Beihilfe nicht mehr getrennt).</t>
  </si>
  <si>
    <t>095100</t>
  </si>
  <si>
    <t>Rückstellung für Gewerbesteuer</t>
  </si>
  <si>
    <t>24032000</t>
  </si>
  <si>
    <t>Rückstellungen Gewerbesteuer</t>
  </si>
  <si>
    <t>Passiva &gt; D. Rückstellungen &gt; 2. Steuerrückstellungen [2033000]</t>
  </si>
  <si>
    <t>Rückstellungen Gewerbesteuer / Trade Tax Provision</t>
  </si>
  <si>
    <t>Bezeichnung und Position (Provisions) passen.</t>
  </si>
  <si>
    <t>095300</t>
  </si>
  <si>
    <t>RUECKSTELLUNG FUER UMSATZSTEUER</t>
  </si>
  <si>
    <t>24030000</t>
  </si>
  <si>
    <t>Tax Provisions</t>
  </si>
  <si>
    <t>Bisher Gezahlte Umsatzsteuer (nicht in [Y]); eine Rückstellung ist kein Steuerverrechnungskonto. Neu Tax Provisions (allgemeine Steuerrückstellungen) in Provisions; ein eigenes Konto für Umsatzsteuerrückstellungen gibt es nicht.</t>
  </si>
  <si>
    <t>097060</t>
  </si>
  <si>
    <t>Rückstellung für Aussenwohnbereichsentschädigung</t>
  </si>
  <si>
    <t>24031100</t>
  </si>
  <si>
    <t>Pensionsrückstellung - ledgerspezifisch</t>
  </si>
  <si>
    <t>Passiva &gt; D. Rückstellungen &gt; 3. Sonstige Rückstellungen (Lärmschutzmaßnahmen) [2034001]</t>
  </si>
  <si>
    <t>24090000</t>
  </si>
  <si>
    <t>Sonstige Rückstellungen / Other Provisions</t>
  </si>
  <si>
    <t>Bisher Pensionsrückstellung (ledgerspezifisch): anderer Sachverhalt. Neu Other Provisions. n:1: 24090000 wird zum Sammelkonto für die sonstigen Rückstellungen; die Trennung nach Rückstellungsart geht verloren (Rückstellungsspiegel) – eigene Konten je wesentlicher Rückstellungsart prüfen.</t>
  </si>
  <si>
    <t>097070</t>
  </si>
  <si>
    <t>Rückstellung für Auflagen gem. Betriebsgenehmigung</t>
  </si>
  <si>
    <t>21501200</t>
  </si>
  <si>
    <t>Rückstellung für 13. Monatsgehalt</t>
  </si>
  <si>
    <t>Bisher Rückstellung für 13. Monatsgehalt (nicht in [Y]): anderer Sachverhalt. Neu Other Provisions. n:1: 24090000 wird zum Sammelkonto für die sonstigen Rückstellungen; die Trennung nach Rückstellungsart geht verloren (Rückstellungsspiegel) – eigene Konten je wesentlicher Rückstellungsart prüfen.</t>
  </si>
  <si>
    <t>097100</t>
  </si>
  <si>
    <t>Rückstellungen für Berufsgenossenschaftsbeiträge</t>
  </si>
  <si>
    <t>24033000</t>
  </si>
  <si>
    <t>Rückstellungen Körperschaftssteuer</t>
  </si>
  <si>
    <t>Passiva &gt; D. Rückstellungen &gt; 3. Sonstige Rückstellungen (übrige) [2034002]</t>
  </si>
  <si>
    <t>Bisher Rückstellung Körperschaftsteuer: anderer Sachverhalt. Neu Other Provisions; 21509000 (Verbindlichkeit Berufsgenossenschaft) liegt in Other Payable und passt nicht zum Ausweis als Rückstellung. n:1: 24090000 wird zum Sammelkonto für die sonstigen Rückstellungen; die Trennung nach Rückstellungsart geht verloren (Rückstellungsspiegel) – eigene Konten je wesentlicher Rückstellungsart prüfen.</t>
  </si>
  <si>
    <t>097200</t>
  </si>
  <si>
    <t>Rückstellungen für Urlaubsansprüche</t>
  </si>
  <si>
    <t>Sonstige Rückstellungen</t>
  </si>
  <si>
    <t>Bezeichnung (Sonstige Rückstellungen) und Position passen. n:1: 24090000 wird zum Sammelkonto für die sonstigen Rückstellungen; die Trennung nach Rückstellungsart geht verloren (Rückstellungsspiegel) – eigene Konten je wesentlicher Rückstellungsart prüfen.</t>
  </si>
  <si>
    <t>097300</t>
  </si>
  <si>
    <t>Rückstellungen für Restlöhne u. - Gehälter</t>
  </si>
  <si>
    <t>21501000</t>
  </si>
  <si>
    <t>Auszuzahlende Löhne und Gehälter</t>
  </si>
  <si>
    <t>Bisher Auszuzahlende Löhne und Gehälter (Verbindlichkeit in Other Payable); der Kunde weist eine Rückstellung aus. Neu Other Provisions. n:1: 24090000 wird zum Sammelkonto für die sonstigen Rückstellungen; die Trennung nach Rückstellungsart geht verloren (Rückstellungsspiegel) – eigene Konten je wesentlicher Rückstellungsart prüfen.</t>
  </si>
  <si>
    <t>097302</t>
  </si>
  <si>
    <t>Rückstellungen für Restgehälter (Bonus)</t>
  </si>
  <si>
    <t>Bisher Rückstellung Gewerbesteuer: anderer Sachverhalt. Neu Other Provisions; 21770000 Bonusrückstellung betrifft Kundenboni, nicht Mitarbeiterboni. n:1: 24090000 wird zum Sammelkonto für die sonstigen Rückstellungen; die Trennung nach Rückstellungsart geht verloren (Rückstellungsspiegel) – eigene Konten je wesentlicher Rückstellungsart prüfen.</t>
  </si>
  <si>
    <t>097430</t>
  </si>
  <si>
    <t>Rückstellungen für Prozesskosten</t>
  </si>
  <si>
    <t>097440</t>
  </si>
  <si>
    <t>Rückstellungen für Prüfungskosten</t>
  </si>
  <si>
    <t>097451</t>
  </si>
  <si>
    <t>Rückstellungen für Nebenkosten</t>
  </si>
  <si>
    <t>097453</t>
  </si>
  <si>
    <t>Rückstellungen Marketingzuschuss / Kickbacks</t>
  </si>
  <si>
    <t>Bezeichnung (Sonstige Rückstellungen) und Position passen. Alternative bei Abrechnung der Airline-Incentives über Konditionskontrakte: 21770000 Accrued Volume Rebate (gleiche Position). n:1: 24090000 wird zum Sammelkonto für die sonstigen Rückstellungen; die Trennung nach Rückstellungsart geht verloren (Rückstellungsspiegel) – eigene Konten je wesentlicher Rückstellungsart prüfen.</t>
  </si>
  <si>
    <t>097460</t>
  </si>
  <si>
    <t>Rückstellungen für Versicherungen</t>
  </si>
  <si>
    <t>63004000</t>
  </si>
  <si>
    <t>Versicherungen</t>
  </si>
  <si>
    <t>Net Income &gt; Operating Income &gt; Operating Expense &gt; Building Expense &gt; Periodic Building Expense</t>
  </si>
  <si>
    <t>Bisher Aufwandskonto Versicherungen für ein Rückstellungskonto. Neu Other Provisions. n:1: 24090000 wird zum Sammelkonto für die sonstigen Rückstellungen; die Trennung nach Rückstellungsart geht verloren (Rückstellungsspiegel) – eigene Konten je wesentlicher Rückstellungsart prüfen.</t>
  </si>
  <si>
    <t>097470</t>
  </si>
  <si>
    <t>PFT-Rückstellung</t>
  </si>
  <si>
    <t>Bisher Bonusrückstellung (Accrued Volume Rebate, Kundenboni): anderer Sachverhalt. Neu Other Provisions. n:1: 24090000 wird zum Sammelkonto für die sonstigen Rückstellungen; die Trennung nach Rückstellungsart geht verloren (Rückstellungsspiegel) – eigene Konten je wesentlicher Rückstellungsart prüfen.</t>
  </si>
  <si>
    <t>097475</t>
  </si>
  <si>
    <t>Rückstellungen für unterlassene Instandhaltung</t>
  </si>
  <si>
    <t>097500</t>
  </si>
  <si>
    <t>Rückstellung - Jubiläumszuwendungen</t>
  </si>
  <si>
    <t>097510</t>
  </si>
  <si>
    <t>Rückstellung - Entgeltfortzahlung im Sterbefall</t>
  </si>
  <si>
    <t>097620</t>
  </si>
  <si>
    <t>Rückst. ausstehende Rechnungen Anlagevermögen</t>
  </si>
  <si>
    <t>Rückst. für Pensionen und ähnliche Verpflichtungen</t>
  </si>
  <si>
    <t>RechungsabgrenzPosten – Lieferungen und Leistungen / Accrued Expenses–Goods &amp; Services</t>
  </si>
  <si>
    <t>Bisher Pensionsrückstellung: anderer Sachverhalt. Ausstehende Rechnungen entsprechen Accrued Expenses - Goods &amp; Services in Provisions. Alternative: 24093000 Provisions for Indeterminate Payables.</t>
  </si>
  <si>
    <t>781600</t>
  </si>
  <si>
    <t>097740</t>
  </si>
  <si>
    <t>Rückstellungen für interne Jahresabschlusskosten</t>
  </si>
  <si>
    <t>Bisher Rückstellung Körperschaftsteuer: anderer Sachverhalt. Neu Other Provisions. n:1: 24090000 wird zum Sammelkonto für die sonstigen Rückstellungen; die Trennung nach Rückstellungsart geht verloren (Rückstellungsspiegel) – eigene Konten je wesentlicher Rückstellungsart prüfen.</t>
  </si>
  <si>
    <t>781509</t>
  </si>
  <si>
    <t>KALK. ZINSEN &lt; 0</t>
  </si>
  <si>
    <t>097745</t>
  </si>
  <si>
    <t>Rückstellung - Archivierungskosten</t>
  </si>
  <si>
    <t>097751</t>
  </si>
  <si>
    <t>ab 2025 Rückstellungen für Nebenkosten</t>
  </si>
  <si>
    <t>21721000</t>
  </si>
  <si>
    <t>Rückstellungen für fehlende Kosten</t>
  </si>
  <si>
    <t>Bisher Reserves for Unrealized Costs: technisches Konto der Ergebnisermittlung. Neu Other Provisions. n:1: 24090000 wird zum Sammelkonto für die sonstigen Rückstellungen; die Trennung nach Rückstellungsart geht verloren (Rückstellungsspiegel) – eigene Konten je wesentlicher Rückstellungsart prüfen.</t>
  </si>
  <si>
    <t>781539</t>
  </si>
  <si>
    <t>071000</t>
  </si>
  <si>
    <t>Darlehen langfristige (FDG=Schuldscheindarl.)</t>
  </si>
  <si>
    <t>14102000</t>
  </si>
  <si>
    <t>Sonstige Darlehen - kurzfristig</t>
  </si>
  <si>
    <t>Passiva &gt; E. Verbindlichkeiten &gt; 1. Verbindlichkeiten gegenüber Kreditinstituten &gt; Langfristige Darlehen [2042010]</t>
  </si>
  <si>
    <t>22510000</t>
  </si>
  <si>
    <t>Loans from Banks (no recon acct)</t>
  </si>
  <si>
    <t>Liabilities and Equity &gt; Liabilities &gt; Non-Current Liabilities &gt; Bank Loans</t>
  </si>
  <si>
    <t>Bisher Sonstige Darlehen kurzfristig (14102000, gewährte Darlehen, nicht in [Y]): Kontoart, Fristigkeit und Position passen nicht. Neu Loans from Banks (no recon acct) in Bank Loans. Die Fristigkeit wird in YCOA nicht über das Buchungskonto, sondern über die Umgliederung nach Restlaufzeit abgebildet (29130000 für 1-5 Jahre, 29131000 für über 5 Jahre). n:1: die Trennung Schuldschein / diverse / Förderdarlehen / kurzfristig geht verloren (Darlehensspiegel, Zinsabgrenzung) – eigene Konten oder Abbildung über Treasury prüfen.</t>
  </si>
  <si>
    <t>071040</t>
  </si>
  <si>
    <t>Darlehen langfristige Div.</t>
  </si>
  <si>
    <t>071060</t>
  </si>
  <si>
    <t>Förderdarlehen Corona</t>
  </si>
  <si>
    <t>071100</t>
  </si>
  <si>
    <t>Kurzfristige Darlehen</t>
  </si>
  <si>
    <t>Passiva &gt; E. Verbindlichkeiten &gt; 1. Verbindlichkeiten gegenüber Kreditinstituten &gt; Kurzfristige Darlehen [2042020]</t>
  </si>
  <si>
    <t>Bisher 14102000: Text passt, das Konto steht aber für gewährte Darlehen (Aktivseite) und ist in [Y] nicht vorhanden. Neu Loans from Banks (no recon acct) in Bank Loans. Die Fristigkeit wird in YCOA nicht über das Buchungskonto, sondern über die Umgliederung nach Restlaufzeit abgebildet (29130000 für 1-5 Jahre, 29131000 für über 5 Jahre). n:1: die Trennung Schuldschein / diverse / Förderdarlehen / kurzfristig geht verloren (Darlehensspiegel, Zinsabgrenzung) – eigene Konten oder Abbildung über Treasury prüfen.</t>
  </si>
  <si>
    <t>170290</t>
  </si>
  <si>
    <t>VR - Abgrenzung Zinsen Kreditinstitute</t>
  </si>
  <si>
    <t>Passiva &gt; E. Verbindlichkeiten &gt; 1. Verbindlichkeiten gegenüber Kreditinstituten &gt; Sonstige (Zinsabgrenzung) [2042030/00]</t>
  </si>
  <si>
    <t>Bisher Konzernverbindlichkeiten (nicht in [Y]): anderer Sachverhalt. Zinsabgrenzung auf Bankdarlehen wird vom Kunden unter Verbindlichkeiten gegenüber Kreditinstituten ausgewiesen; in Bank Loans gibt es kein Zinsabgrenzungskonto, das Treasury-Konto 22542000 ist in FPA1 nicht zugeordnet. Neuanlage prüfen (Kopiervorlage 22510000). Rückfall: 22510000.</t>
  </si>
  <si>
    <t>071070</t>
  </si>
  <si>
    <t>Verbl. gg. weiteren Darlehensgebern</t>
  </si>
  <si>
    <t>Mitarbeiterdarlehen</t>
  </si>
  <si>
    <t>Passiva &gt; E. Verbindlichkeiten &gt; 2. Verbindlichkeiten gegenüber weiteren Darlehensgebern [2043030]</t>
  </si>
  <si>
    <t>Bisher Mitarbeiterdarlehen (Aktivkonto): falsch. Für Darlehen von Nichtbanken gibt es in den zugeordneten Positionen von [Y] weder ein Konto noch eine eigene Position; die Konten in Bank Loans sind auf Kreditinstitute benannt. Neuanlage prüfen. Bei Abbildung über Treasury: 29140000 Long Term Debts, Unaffiliated (in FPA1 nicht zugeordnet).</t>
  </si>
  <si>
    <t>170291</t>
  </si>
  <si>
    <t>VR - Abgrenzung Zinsen weiterer Darlehensgeber</t>
  </si>
  <si>
    <t>Bisher Sonstige Darlehen langfristig (nicht in [Y]): eine Zinsabgrenzung ist kein Darlehen. Wie 071070 fehlt für weitere Darlehensgeber Konto und Position; Neuanlage zusammen mit 071070 prüfen.</t>
  </si>
  <si>
    <t>160000</t>
  </si>
  <si>
    <t>Verbindlichkeiten aus Lieferungen/Leistungen u.a.</t>
  </si>
  <si>
    <t>Passiva &gt; E. Verbindlichkeiten &gt; 3. Verbindlichkeiten aus Lieferungen und Leistungen [2044010]</t>
  </si>
  <si>
    <t>21100000</t>
  </si>
  <si>
    <t>Verbindlichkeiten Inland / Payables Domestic</t>
  </si>
  <si>
    <t>Bisher Abgrenzungsposten Lieferungen und Leistungen (Provisions) für das Kreditoren-Abstimmkonto. Neu Payables Domestic in Accounts Payable; Auslandskreditoren je Abstimmkonto über 21200000.</t>
  </si>
  <si>
    <t>160001</t>
  </si>
  <si>
    <t>Verbindlichk. aus Liefer.und Leistg. deb. Kred.</t>
  </si>
  <si>
    <t>Verbindlichkeiten Inland</t>
  </si>
  <si>
    <t>21102000</t>
  </si>
  <si>
    <t>Payables Domestic Adjustments</t>
  </si>
  <si>
    <t>Bisher Payables Domestic (Abstimmkonto); das Kundenkonto ist das Korrekturkonto für debitorische Kreditoren (Umgliederung zum Stichtag). Neu Payables Domestic Adjustments in Accounts Payable; Gegenseite: 12590000.</t>
  </si>
  <si>
    <t>193000</t>
  </si>
  <si>
    <t>VR - Lieferantenskonti (Nettoverfahren)</t>
  </si>
  <si>
    <t>21750000</t>
  </si>
  <si>
    <t>Clearing Vendor Discounts - Net Method</t>
  </si>
  <si>
    <t>Bisher Konzernverbindlichkeiten (nicht in [Y]). Für Lieferantenskonti im Nettoverfahren führt [Y] ein eigenes Verrechnungskonto: Clearing Vendor Discounts - Net Method in Accounts Payable.</t>
  </si>
  <si>
    <t>196400</t>
  </si>
  <si>
    <t>VR - Kreditkarten</t>
  </si>
  <si>
    <t>Bezeichnung als Zwischenkonto plausibel, 11001030 liegt aber in Cash &amp; Equivalents; der Kunde weist das Kreditkarten-Verrechnungskonto unter Verbindlichkeiten aus L&amp;L aus. In Accounts Payable gibt es kein direkt bebuchbares Verrechnungskonto. Zu klären: Kartengesellschaft als Kreditor führen (dann 21100000) oder Verrechnungskonto neu anlegen; 21720000 läge in Other Payable.</t>
  </si>
  <si>
    <t>300009</t>
  </si>
  <si>
    <t>WE/RE-Verrechnungskonto</t>
  </si>
  <si>
    <t>21540000</t>
  </si>
  <si>
    <t>Sonstiges Verrechnungskonto</t>
  </si>
  <si>
    <t>21120000</t>
  </si>
  <si>
    <t>Goods Received/Invoice Received</t>
  </si>
  <si>
    <t>Not assigned (in FPA1 keiner Position zugeordnet); laut Entscheidung vom 02.10.2026 in der kundeneigenen Bilanzstruktur zugeordnet: Passiva &gt; E. Verbindlichkeiten &gt; 3. Verbindlichkeiten aus Lieferungen und Leistungen</t>
  </si>
  <si>
    <t>Bisher Sonstiges Verrechnungskonto (nicht in [Y]). Neu das WE/RE-Konto 21120000 Goods Received/Invoice Received. Es ist in FPA1 keiner Position zugeordnet (Ausweis dort über die Umgliederungskonten 24010000/24020000 in Other Payable); laut Entscheidung vom 02.10.2026 wird es in der kundeneigenen Bilanzstruktur den Verbindlichkeiten aus L&amp;L zugeordnet.</t>
  </si>
  <si>
    <t>180000</t>
  </si>
  <si>
    <t>Verb. Darlehen Gesellschafter Stadt Holding</t>
  </si>
  <si>
    <t>21460000</t>
  </si>
  <si>
    <t>Verbindlichkeiten ggü Gesellschaftern (Dividende)</t>
  </si>
  <si>
    <t>Passiva &gt; E. Verbindlichkeiten &gt; 4. Verbindlichkeiten gegenüber Gesellschaftern (Restlaufzeit &gt; 5 Jahre) [2045030]</t>
  </si>
  <si>
    <t>Bisher Verbindlichkeiten gegenüber Gesellschaftern (Dividende), nicht in [Y]: Darlehen statt Dividende. Für Gesellschafterdarlehen (gesonderter Ausweis nach § 42 Abs. 3 GmbHG, Restlaufzeit über 5 Jahre) gibt es in [Y] weder Konto noch Position. Neuanlage prüfen. Rückfall: 29120000 Other Payables due &gt; 5 Years (Accounts Payable) mit Verlust des gesonderten Ausweises.</t>
  </si>
  <si>
    <t>181000</t>
  </si>
  <si>
    <t>Verbindlichkeiten-Gesell. AirPORT Partners</t>
  </si>
  <si>
    <t>21200000</t>
  </si>
  <si>
    <t>Verbindlichkeiten Ausland</t>
  </si>
  <si>
    <t>Bisher Verbindlichkeiten Ausland (L&amp;L-Abstimmkonto): falsch. Für Gesellschafterdarlehen (gesonderter Ausweis nach § 42 Abs. 3 GmbHG, Restlaufzeit über 5 Jahre) gibt es in [Y] weder Konto noch Position. Neuanlage prüfen. Rückfall: 29120000 Other Payables due &gt; 5 Years (Accounts Payable) mit Verlust des gesonderten Ausweises.</t>
  </si>
  <si>
    <t>159339</t>
  </si>
  <si>
    <t>Forderungen gegen  FDSG</t>
  </si>
  <si>
    <t>Passiva &gt; E. Verbindlichkeiten &gt; 5. Verbindlichkeiten gegenüber verbundenen Unternehmen (saldiert: FD Security) [2046010/02]</t>
  </si>
  <si>
    <t>Bisher 12110000, in [X] als Forderungen Inland bezeichnet, laut [Y] aber Other Down Payments Made Current Assets. Neu Receivables affiliated Companies – gleiches Zielkonto wie die übrigen Forderungen gegen verbundene Unternehmen. Der Kunde saldiert je verbundenem Unternehmen; FD Security steht per Saldo auf der Passivseite.</t>
  </si>
  <si>
    <t>182139</t>
  </si>
  <si>
    <t>Verbindlichkeiten gegenüber  FDSG</t>
  </si>
  <si>
    <t>Bisher Verbindlichkeiten gegenüber Berufsgenossenschaft (reiner Texttreffer). Neu Payables affiliated Companies in Other Payable. Der Kunde saldiert je verbundenem Unternehmen; FD Security steht per Saldo auf der Passivseite.</t>
  </si>
  <si>
    <t>192060</t>
  </si>
  <si>
    <t>VR - FDSG - Darlehen Cash-Pooling</t>
  </si>
  <si>
    <t>Bisher Sonstige Darlehen langfristig (nicht in [Y]); Cash-Pooling ist kurzfristig. Gleiches Zielkonto wie die übrigen Verrechnungskonten der FDG mit verbundenen Unternehmen: Receivables vs affil. Companies (no recon acct); der Habensaldo 2025 wird über 21303000 ausgewiesen (2024 Sollsaldo). Der Kunde saldiert je verbundenem Unternehmen; FD Security steht per Saldo auf der Passivseite.</t>
  </si>
  <si>
    <t>192260</t>
  </si>
  <si>
    <t>VR - FDSG</t>
  </si>
  <si>
    <t>Bezeichnung Konzernverbindlichkeiten plausibel, 21700000 ist aber in [Y] nicht vorhanden. Gleiches Zielkonto wie die übrigen Verrechnungskonten der FDG mit verbundenen Unternehmen: Receivables vs affil. Companies (no recon acct); Habensalden werden über 21303000 ausgewiesen. Der Kunde saldiert je verbundenem Unternehmen; FD Security steht per Saldo auf der Passivseite.</t>
  </si>
  <si>
    <t>182019</t>
  </si>
  <si>
    <t>Verbindlichkeiten gegenüber SAIT/Japon</t>
  </si>
  <si>
    <t>Passiva &gt; E. Verbindlichkeiten &gt; 6. Verbindlichkeiten gegenüber Unternehmen mit Beteiligungsverhältnis [2047010]</t>
  </si>
  <si>
    <t>Bisher Verbindlichkeiten gegenüber Berufsgenossenschaft (reiner Texttreffer). Für Verbindlichkeiten gegenüber Unternehmen mit Beteiligungsverhältnis (§ 266 Abs. 3 C.7 HGB, Pflichtausweis) gibt es in [Y] kein eigenes Abstimmkonto. Neuanlage prüfen (Kopiervorlage 21300000). Rückfall: 21100000 mit Verlust des gesonderten Ausweises.</t>
  </si>
  <si>
    <t>174001</t>
  </si>
  <si>
    <t>FA-Dus-Nord Lohnsteuer</t>
  </si>
  <si>
    <t>Passiva &gt; E. Verbindlichkeiten &gt; 7. Sonstige Verbindlichkeiten &gt; aus Steuern [2048011]</t>
  </si>
  <si>
    <t>21502000</t>
  </si>
  <si>
    <t>Payroll Taxes</t>
  </si>
  <si>
    <t>Bisher ohne Zuordnung. Lohnsteuerverbindlichkeit entspricht Payroll Taxes in Other Payable (davon-Vermerk aus Steuern).</t>
  </si>
  <si>
    <t>174020</t>
  </si>
  <si>
    <t>FA-Dus-Nord - Kfz-Steuer                        .</t>
  </si>
  <si>
    <t>Bezeichnung passt (Sonstige Steuer - zu zahlen), das Konto ist aber in [Y] nicht vorhanden; die Bilanzposition ist nicht belegbar. In [Y] gibt es kein Konto für Verbindlichkeiten aus sonstigen Steuern (davon-Vermerk aus Steuern). Zu klären: 21538000 im Buchungskreis anlegen und Other Payable zuordnen oder Neuanlage. Rückfall: 21720000.</t>
  </si>
  <si>
    <t>195021</t>
  </si>
  <si>
    <t>VR - Krankenkassen</t>
  </si>
  <si>
    <t>Passiva &gt; E. Verbindlichkeiten &gt; 7. Sonstige Verbindlichkeiten &gt; im Rahmen der sozialen Sicherheit [2048021]</t>
  </si>
  <si>
    <t>21503000</t>
  </si>
  <si>
    <t>Payroll - Social Security</t>
  </si>
  <si>
    <t>Bisher Konzernverbindlichkeiten (nicht in [Y]): kein Konzernbezug. Verrechnung Krankenkassen entspricht Payroll - Social Security in Other Payable (davon-Vermerk soziale Sicherheit).</t>
  </si>
  <si>
    <t>170111</t>
  </si>
  <si>
    <t>Sonstige Verbindlichkeiten - Mieter (Mietkaution).</t>
  </si>
  <si>
    <t>Passiva &gt; E. Verbindlichkeiten &gt; 7. Sonstige Verbindlichkeiten &gt; andere sonstige Verbindlichkeiten (Kautionen, Airlines u. a.) [2048031]</t>
  </si>
  <si>
    <t>Bisher Payables Domestic (L&amp;L-Abstimmkonto, Accounts Payable): Mietkautionen sind sonstige Verbindlichkeiten. Neu Other Payables (no recon acct). Bei Abbildung über Sonderhauptbuch (Immobilienverträge) wäre 12420000 Security Deposit Customers einschlägig; es liegt in FPA1 unter Accounts Receivable – Ausweis klären. n:1: 21720000 wird zum Sammelkonto; die Trennung nach Sachverhalt geht verloren – eigene Konten prüfen, soweit für Abstimmung und Verbindlichkeitenspiegel erforderlich.</t>
  </si>
  <si>
    <t>170121</t>
  </si>
  <si>
    <t>Sonstige Verbindlichkeiten - Airlines, etc.</t>
  </si>
  <si>
    <t>Bisher Payables Foreign (L&amp;L-Abstimmkonto Ausland, Accounts Payable): weder Auslandsbezug noch L&amp;L. Neu Other Payables (no recon acct). n:1: 21720000 wird zum Sammelkonto; die Trennung nach Sachverhalt geht verloren – eigene Konten prüfen, soweit für Abstimmung und Verbindlichkeitenspiegel erforderlich.</t>
  </si>
  <si>
    <t>170141</t>
  </si>
  <si>
    <t>Sonstige Verbindlichkeiten - Schlüsseldienst</t>
  </si>
  <si>
    <t>170143</t>
  </si>
  <si>
    <t>Verbindlichkeiten Werbegemeinschaft</t>
  </si>
  <si>
    <t>Bisher Payables Domestic (L&amp;L-Abstimmkonto, Accounts Payable); der Kunde weist unter sonstige Verbindlichkeiten aus. Neu Other Payables (no recon acct). n:1: 21720000 wird zum Sammelkonto; die Trennung nach Sachverhalt geht verloren – eigene Konten prüfen, soweit für Abstimmung und Verbindlichkeitenspiegel erforderlich.</t>
  </si>
  <si>
    <t>172020</t>
  </si>
  <si>
    <t>Einbehaltene Centbeträge Lohn- u. Gehalt</t>
  </si>
  <si>
    <t>21539106</t>
  </si>
  <si>
    <t>INSS: Rückstellungen für das 13. Gehalt (BR)</t>
  </si>
  <si>
    <t>Bisher INSS-Rückstellung 13. Gehalt (Brasilien, nicht in [Y]): falsch. Einbehaltene Centbeträge sind eine sonstige Verbindlichkeit; neu Other Payables (no recon acct). n:1: 21720000 wird zum Sammelkonto; die Trennung nach Sachverhalt geht verloren – eigene Konten prüfen, soweit für Abstimmung und Verbindlichkeitenspiegel erforderlich.</t>
  </si>
  <si>
    <t>179000</t>
  </si>
  <si>
    <t>Verbindlichkeiten aus Fundsachen</t>
  </si>
  <si>
    <t>171000</t>
  </si>
  <si>
    <t>Sonstige Verbindlichkeiten</t>
  </si>
  <si>
    <t>Passiva &gt; E. Verbindlichkeiten &gt; 7. Sonstige Verbindlichkeiten &gt; andere sonstige Verbindlichkeiten (übrige, Verrechnungskonten) [2048032]</t>
  </si>
  <si>
    <t>Bisher Payables Domestic (L&amp;L-Abstimmkonto, Accounts Payable). Neu Other Payables (no recon acct) in Other Payable.</t>
  </si>
  <si>
    <t>191000</t>
  </si>
  <si>
    <t>VR - Rücküberweisungen Lohn/Gehalt</t>
  </si>
  <si>
    <t>Auszuzahlende Löhne und Gehälter / Accrued Net Payroll</t>
  </si>
  <si>
    <t>Bisher Konzernverbindlichkeiten (nicht in [Y]): kein Konzernbezug. Rücküberweisungen Lohn/Gehalt sind noch auszuzahlende Entgelte; neu Accrued Net Payroll in Other Payable.</t>
  </si>
  <si>
    <t>196300</t>
  </si>
  <si>
    <t>VR - Werbegemeinschaft Reisemärkte</t>
  </si>
  <si>
    <t>Bisher Konzernverbindlichkeiten (nicht in [Y]): kein Konzernbezug. Durchlaufendes Verrechnungskonto unter sonstige Verbindlichkeiten; neu Other Payables (no recon acct). n:1: 21720000 wird zum Sammelkonto; die Trennung nach Sachverhalt geht verloren – eigene Konten prüfen, soweit für Abstimmung und Verbindlichkeitenspiegel erforderlich.</t>
  </si>
  <si>
    <t>198100</t>
  </si>
  <si>
    <t>VR - Gebühr für Sicherheitsüberprüfungen</t>
  </si>
  <si>
    <t>390011</t>
  </si>
  <si>
    <t>Leasingobjekte</t>
  </si>
  <si>
    <t>Bisher ohne Zuordnung. Inhalt unklar (Leasingobjekte mit Habensaldo unter sonstige Verbindlichkeiten). Zu klären: bei sonstiger Verbindlichkeit 21720000; Leasingverbindlichkeiten 2300xxxx und 16059000 Leasing Clearing Account sind in FPA1 nicht zugeordnet.</t>
  </si>
  <si>
    <t>071120</t>
  </si>
  <si>
    <t>Darlehen der freiwilligen Unterstützungskasse</t>
  </si>
  <si>
    <t>29130000</t>
  </si>
  <si>
    <t>Darlehen v. Kreditinstituten Restlaufz. 1-5 Jahre</t>
  </si>
  <si>
    <t>Passiva &gt; E. Verbindlichkeiten &gt; 7. Sonstige Verbindlichkeiten &gt; aus sonstigen Darlehen [2048033]</t>
  </si>
  <si>
    <t>Bisher Darlehen von Kreditinstituten mit Restlaufzeit 1-5 Jahre (Bank Loans): Darlehensgeber ist die Unterstützungskasse, der Kunde weist unter sonstige Verbindlichkeiten aus. Neu Other Payables (no recon acct). n:1: 21720000 wird zum Sammelkonto; die Trennung nach Sachverhalt geht verloren – eigene Konten prüfen, soweit für Abstimmung und Verbindlichkeitenspiegel erforderlich.</t>
  </si>
  <si>
    <t>781549</t>
  </si>
  <si>
    <t>800400</t>
  </si>
  <si>
    <t>PRM-Entgelt (People with reduced Mobility)</t>
  </si>
  <si>
    <t>GuV &gt; 1. Umsatzerlöse &gt; Flughafenentgelte &gt; Landeentgelte (PRM) [3011011/00]</t>
  </si>
  <si>
    <t>Neuanlage – vorgesehene Position: Gross Revenue (FPA1/022)</t>
  </si>
  <si>
    <t>Bisher ohne Zuordnung. In Gross Revenue führt [Y] nur generische Erlöskonten (41000000 Inland, 41001000 Ausland, 41001500 Verbundene); ein Konto für Flughafenentgelte (regulierte Entgelte nach Entgeltordnung) existiert nicht. Entscheidung vom 02.10.2026: Neuanlage als eigenes Erlöskonto. Nummer, Bezeichnung und Kopiervorlage siehe Blatt Neuanlagen; Zuordnung zu Gross Revenue und zur Erlösgruppe der Kunden-GuV.</t>
  </si>
  <si>
    <t>Neuanlage</t>
  </si>
  <si>
    <t>800000</t>
  </si>
  <si>
    <t>Grundentgelte</t>
  </si>
  <si>
    <t>GuV &gt; 1. Umsatzerlöse &gt; Flughafenentgelte &gt; Landeentgelte (fix) [3011011/01]</t>
  </si>
  <si>
    <t>800001</t>
  </si>
  <si>
    <t>NOX-Entgelte</t>
  </si>
  <si>
    <t>800002</t>
  </si>
  <si>
    <t>Lärmzuschläge</t>
  </si>
  <si>
    <t>70100000</t>
  </si>
  <si>
    <t>Zinserträge</t>
  </si>
  <si>
    <t>Net Income &gt; Interest &gt; Interest Income</t>
  </si>
  <si>
    <t>Bisher Zinserträge: falsch (Lärmzuschläge sind Umsatzerlöse). In Gross Revenue führt [Y] nur generische Erlöskonten (41000000 Inland, 41001000 Ausland, 41001500 Verbundene); ein Konto für Flughafenentgelte (regulierte Entgelte nach Entgeltordnung) existiert nicht. Entscheidung vom 02.10.2026: Neuanlage als eigenes Erlöskonto. Nummer, Bezeichnung und Kopiervorlage siehe Blatt Neuanlagen; Zuordnung zu Gross Revenue und zur Erlösgruppe der Kunden-GuV.</t>
  </si>
  <si>
    <t>800020</t>
  </si>
  <si>
    <t>Lande und Startentg. GAT</t>
  </si>
  <si>
    <t>810050</t>
  </si>
  <si>
    <t>Positionsentgelt</t>
  </si>
  <si>
    <t>800010</t>
  </si>
  <si>
    <t>Passagierentgelte Inland</t>
  </si>
  <si>
    <t>44002000</t>
  </si>
  <si>
    <t>Kundenskonti - Inland</t>
  </si>
  <si>
    <t>GuV &gt; 1. Umsatzerlöse &gt; Flughafenentgelte &gt; Landeentgelte (variabel) [3011011/02]</t>
  </si>
  <si>
    <t>Net Income &gt; Operating Income &gt; Gross Margin &gt; Net Revenue &gt; Sales Deductions</t>
  </si>
  <si>
    <t>Bisher Kundenskonti Inland (Erlösschmälerung): falsch (Passagierentgelte sind Umsatzerlöse). In Gross Revenue führt [Y] nur generische Erlöskonten (41000000 Inland, 41001000 Ausland, 41001500 Verbundene); ein Konto für Flughafenentgelte (regulierte Entgelte nach Entgeltordnung) existiert nicht. Entscheidung vom 02.10.2026: Neuanlage als eigenes Erlöskonto. Nummer, Bezeichnung und Kopiervorlage siehe Blatt Neuanlagen; Zuordnung zu Gross Revenue und zur Erlösgruppe der Kunden-GuV.</t>
  </si>
  <si>
    <t>800110</t>
  </si>
  <si>
    <t>Passagierentgelte NON EU</t>
  </si>
  <si>
    <t>800111</t>
  </si>
  <si>
    <t>Passagierentgelte EU</t>
  </si>
  <si>
    <t>800420</t>
  </si>
  <si>
    <t>Passagierentgelte Transit / Transfer</t>
  </si>
  <si>
    <t>800430</t>
  </si>
  <si>
    <t>EU-Sicherheitsentgelte</t>
  </si>
  <si>
    <t>800990</t>
  </si>
  <si>
    <t>Airlinesonderförderung</t>
  </si>
  <si>
    <t>44001000</t>
  </si>
  <si>
    <t>Sales Rebates</t>
  </si>
  <si>
    <t>Bisher ohne Zuordnung. Airline-Förderung mindert die Umsatzerlöse (Sollsaldo innerhalb der Landeentgelte). Neu Sales Rebates in Sales Deductions; diese Position gehört wie Gross Revenue zu Net Revenue und entspricht damit dem Kundenausweis innerhalb der Umsatzerlöse. n:1 beider Förderkonten; die Zuordnung zur Erlösgruppe Landeentgelte geht verloren.</t>
  </si>
  <si>
    <t>800991</t>
  </si>
  <si>
    <t>Airlineförderung</t>
  </si>
  <si>
    <t>801000</t>
  </si>
  <si>
    <t>Abstellentgelte</t>
  </si>
  <si>
    <t>GuV &gt; 1. Umsatzerlöse &gt; Flughafenentgelte &gt; Abstellentgelte [3011015]</t>
  </si>
  <si>
    <t>810030</t>
  </si>
  <si>
    <t>Zentrale Infrastruktur Counter</t>
  </si>
  <si>
    <t>GuV &gt; 1. Umsatzerlöse &gt; Bodenverkehrsdienste &gt; Abfertigungsentgelte [3011021]</t>
  </si>
  <si>
    <t>Bisher ohne Zuordnung. In Gross Revenue führt [Y] nur generische Erlöskonten (41000000 Inland, 41001000 Ausland, 41001500 Verbundene); ein Konto für Erlöse aus Bodenverkehrsdiensten (Abfertigungsentgelte, Sonderleistungen) existiert nicht. Entscheidung vom 02.10.2026: Neuanlage als eigenes Erlöskonto. Nummer, Bezeichnung und Kopiervorlage siehe Blatt Neuanlagen; Zuordnung zu Gross Revenue und zur Erlösgruppe der Kunden-GuV.</t>
  </si>
  <si>
    <t>810032</t>
  </si>
  <si>
    <t>Self Baggage Drop off Entgelte</t>
  </si>
  <si>
    <t>811010</t>
  </si>
  <si>
    <t>Sonderleistungen Flugbetrieb/Treppen</t>
  </si>
  <si>
    <t>GuV &gt; 1. Umsatzerlöse &gt; Bodenverkehrsdienste &gt; Sonderleistungen [3011022]</t>
  </si>
  <si>
    <t>811020</t>
  </si>
  <si>
    <t>Sonderleistungen Terminalservice</t>
  </si>
  <si>
    <t>811040</t>
  </si>
  <si>
    <t>Sonderleistungen Vorfeldabfertigung</t>
  </si>
  <si>
    <t>811110</t>
  </si>
  <si>
    <t>Sonderleistungen Gepäckdienst</t>
  </si>
  <si>
    <t>70800100</t>
  </si>
  <si>
    <t>Erlöse aus Leistungen - Immobilien</t>
  </si>
  <si>
    <t>Bisher Erlöse aus Leistungen - Immobilien (70800100): kein Immobilienbezug, in FPA1 nicht zugeordnet. In Gross Revenue führt [Y] nur generische Erlöskonten (41000000 Inland, 41001000 Ausland, 41001500 Verbundene); ein Konto für Erlöse aus Bodenverkehrsdiensten (Abfertigungsentgelte, Sonderleistungen) existiert nicht. Entscheidung vom 02.10.2026: Neuanlage als eigenes Erlöskonto. Nummer, Bezeichnung und Kopiervorlage siehe Blatt Neuanlagen; Zuordnung zu Gross Revenue und zur Erlösgruppe der Kunden-GuV.</t>
  </si>
  <si>
    <t>811130</t>
  </si>
  <si>
    <t>Containerlagerung</t>
  </si>
  <si>
    <t>820000</t>
  </si>
  <si>
    <t>Mieterlöse Werbung innen</t>
  </si>
  <si>
    <t>70800200</t>
  </si>
  <si>
    <t>Erlöse aus Leistungen - Sonstige</t>
  </si>
  <si>
    <t>GuV &gt; 1. Umsatzerlöse &gt; Mieterlöse [3011040]</t>
  </si>
  <si>
    <t>Bisher Erlöse aus Leistungen - Sonstige (70800200): in FPA1 keiner Position zugeordnet und generisch.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</si>
  <si>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820003</t>
  </si>
  <si>
    <t>Mieterlöse Werbung</t>
  </si>
  <si>
    <t>820030</t>
  </si>
  <si>
    <t>Mieterlöse Verkaufsgeschäfte</t>
  </si>
  <si>
    <t>41000400</t>
  </si>
  <si>
    <t>Umsatzerlöse mit Kostenart</t>
  </si>
  <si>
    <t>Net Income &gt; Operating Income &gt; Gross Margin &gt; Net Revenue &gt; Gross Revenue</t>
  </si>
  <si>
    <t>Bisher Umsatzerlöse mit Kostenart (41000400): die Position passt, das generische Konto bildet den Sachverhalt aber nicht ab.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</si>
  <si>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820031</t>
  </si>
  <si>
    <t>Mieterlöse Gastronomie</t>
  </si>
  <si>
    <t>820033</t>
  </si>
  <si>
    <t>Mieterlöse Reisemarkt</t>
  </si>
  <si>
    <t>820034</t>
  </si>
  <si>
    <t>Mieterlöse DFS/TrValue</t>
  </si>
  <si>
    <t>820059</t>
  </si>
  <si>
    <t>Mieterlöse Sonstiges CO</t>
  </si>
  <si>
    <t>70700200</t>
  </si>
  <si>
    <t>Leasingerlöse - Sonstige</t>
  </si>
  <si>
    <t>Bisher Leasingerlöse - Sonstige (70700200): fachlich nah, in FPA1 aber keiner Position zugeordnet.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</si>
  <si>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820060</t>
  </si>
  <si>
    <t>Mieterlöse Parken</t>
  </si>
  <si>
    <t>820061</t>
  </si>
  <si>
    <t>Mieterlöse Autovermieter</t>
  </si>
  <si>
    <t>70700400</t>
  </si>
  <si>
    <t>Leasingerlöse - Untervermietung (ROU)</t>
  </si>
  <si>
    <t>Bisher Leasingerlöse - Untervermietung (ROU): Untervermietung von Nutzungsrechten ist ein anderer Sachverhalt, in FPA1 nicht zugeordnet.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</si>
  <si>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820062</t>
  </si>
  <si>
    <t>Mieterlöse Catering</t>
  </si>
  <si>
    <t>820063</t>
  </si>
  <si>
    <t>Mieterlöse Tankdienste</t>
  </si>
  <si>
    <t>820064</t>
  </si>
  <si>
    <t>Mieterlöse Vermietung</t>
  </si>
  <si>
    <t>820065</t>
  </si>
  <si>
    <t>Mieterlöse Lohausen</t>
  </si>
  <si>
    <t>820067</t>
  </si>
  <si>
    <t>Mieterlöse Telekommunikation</t>
  </si>
  <si>
    <t>820068</t>
  </si>
  <si>
    <t>Mieterlöse Parken Passagiere</t>
  </si>
  <si>
    <t>41000000</t>
  </si>
  <si>
    <t>Erlöse Inland - Erzeugnis</t>
  </si>
  <si>
    <t>Bisher Erlöse Inland - Erzeugnis (41000000): die Position passt, das generische Konto bildet den Sachverhalt aber nicht ab.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</si>
  <si>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820089</t>
  </si>
  <si>
    <t>Mieterlöse Sonstiegs IM</t>
  </si>
  <si>
    <t>820900</t>
  </si>
  <si>
    <t>Nutzungsentgelt Lärmschutzhalle</t>
  </si>
  <si>
    <t>Bisher ohne Zuordnung. In Gross Revenue führt [Y] nur generische Erlöskonten (41000000 Inland, 41001000 Ausland, 41001500 Verbundene); ein Konto für Mieterlöse existiert nicht. Entscheidung vom 02.10.2026: Neuanlage als eigenes Erlöskonto. Nummer, Bezeichnung und Kopiervorlage siehe Blatt Neuanlagen; Zuordnung zu Gross Revenue und zur Erlösgruppe der Kunden-GuV. Hinweis: Bei Abbildung der Mietverträge im Vertrags- und Leasingmanagement bucht der Standard auf 70700000 Lease Income for Non-Residential Real Estate (in FPA1 nicht zugeordnet); die Kontenfindung ist dann auf das neue Konto umzustellen.</t>
  </si>
  <si>
    <t>823590</t>
  </si>
  <si>
    <t>Mieterlöse aus Gebrauchsüberlassung</t>
  </si>
  <si>
    <t>830100</t>
  </si>
  <si>
    <t>Umsatzabgabe Werbung innen</t>
  </si>
  <si>
    <t>GuV &gt; 1. Umsatzerlöse &gt; Pachterlöse, Umsatz- und Konzessionsabgaben [3011050]</t>
  </si>
  <si>
    <t>Bisher ohne Zuordnung.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</si>
  <si>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830102</t>
  </si>
  <si>
    <t>Umsatzabgabe Werbung Sonstiges</t>
  </si>
  <si>
    <t>41090011</t>
  </si>
  <si>
    <t>Umsatzsteuer in Warenverkäufen</t>
  </si>
  <si>
    <t>Bisher Umsatzsteuer in Warenverkäufen (nicht in [Y], Länderversion):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</si>
  <si>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830130</t>
  </si>
  <si>
    <t>Umsatzabgabe Verkaufsgeschäfte</t>
  </si>
  <si>
    <t>830131</t>
  </si>
  <si>
    <t>Umsatzabgabe Gastronomie</t>
  </si>
  <si>
    <t>830133</t>
  </si>
  <si>
    <t>Umsatzabgabe Reisemarkt</t>
  </si>
  <si>
    <t>830134</t>
  </si>
  <si>
    <t>Umsatzabgabe DFS/TrValue</t>
  </si>
  <si>
    <t>830159</t>
  </si>
  <si>
    <t>Umsatzabgabe Sonstiges CO</t>
  </si>
  <si>
    <t>70015000</t>
  </si>
  <si>
    <t>Abrechnung Anlage im Bau auf CO-Objekt</t>
  </si>
  <si>
    <t>Bisher Abrechnung Anlage im Bau auf CO-Objekt: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</si>
  <si>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830161</t>
  </si>
  <si>
    <t>Umsatzabgabe Autovermieter</t>
  </si>
  <si>
    <t>41090010</t>
  </si>
  <si>
    <t>Umsatzsteuer in Erlös</t>
  </si>
  <si>
    <t>Bisher Umsatzsteuer in Erlös (nicht in [Y], Länderversion):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</si>
  <si>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830164</t>
  </si>
  <si>
    <t>Umsatzabgabe Vermietung</t>
  </si>
  <si>
    <t>830166</t>
  </si>
  <si>
    <t>Umsatzabgabe Hotel</t>
  </si>
  <si>
    <t>Bisher Umsatzerlöse mit Kostenart (41000400): die Position passt, das generische Konto bildet den Sachverhalt aber nicht ab.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</si>
  <si>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830167</t>
  </si>
  <si>
    <t>Umsatzabgabe Telekommunikation</t>
  </si>
  <si>
    <t>830189</t>
  </si>
  <si>
    <t>Umsatzabgabe Sonstiges IM</t>
  </si>
  <si>
    <t>44007000</t>
  </si>
  <si>
    <t>(-) IPI auf Umsatz (BR)</t>
  </si>
  <si>
    <t>Bisher IPI auf Umsatz (Brasilien, nicht in [Y]): falsch. In Gross Revenue führt [Y] nur generische Erlöskonten (41000000 Inland, 41001000 Ausland, 41001500 Verbundene); ein Konto für Pachterlöse sowie Umsatz- und Konzessionsabgaben existiert nicht. Entscheidung vom 02.10.2026: Neuanlage als eigenes Erlöskonto. Nummer, Bezeichnung und Kopiervorlage siehe Blatt Neuanlagen; Zuordnung zu Gross Revenue und zur Erlösgruppe der Kunden-GuV.</t>
  </si>
  <si>
    <t>840000</t>
  </si>
  <si>
    <t>Erlöse aus Strom</t>
  </si>
  <si>
    <t>GuV &gt; 1. Umsatzerlöse &gt; Erlöse aus Nebenkosten- und Versorgungsleistungen [3011060]</t>
  </si>
  <si>
    <t>Bisher Erlöse aus Leistungen - Sonstige (70800200): in FPA1 keiner Position zugeordnet und generisch. In Gross Revenue führt [Y] nur generische Erlöskonten (41000000 Inland, 41001000 Ausland, 41001500 Verbundene); ein Konto für Erlöse aus Nebenkosten- und Versorgungsleistungen (Strom, Netzentgelte, Wärme, Mietnebenkosten) existiert nicht. Entscheidung vom 02.10.2026: Neuanlage als eigenes Erlöskonto. Nummer, Bezeichnung und Kopiervorlage siehe Blatt Neuanlagen; Zuordnung zu Gross Revenue und zur Erlösgruppe der Kunden-GuV. Hinweis: Bei Abbildung der Mietnebenkosten im Vertrags- und Leasingmanagement bucht der Standard auf 70800100 Service Income - Real Estate (in FPA1 nicht zugeordnet); die Kontenfindung ist dann umzustellen. Die Trennung nach Strom, Netzentgelten und Umlagen ist energie- und steuerrechtlich relevant.</t>
  </si>
  <si>
    <t>840001</t>
  </si>
  <si>
    <t>Erlöse aus Batterieladesäule Strom</t>
  </si>
  <si>
    <t>840004</t>
  </si>
  <si>
    <t>Erlöse aus Strom EEG/KWK (Photovoltaikanl.+BHKW2 )</t>
  </si>
  <si>
    <t>840031</t>
  </si>
  <si>
    <t>Erlöse aus Netzentgelt (Arbeit)</t>
  </si>
  <si>
    <t>840032</t>
  </si>
  <si>
    <t>Erlöse aus Netzentgelt (Konzessionsabgaben)</t>
  </si>
  <si>
    <t>840033</t>
  </si>
  <si>
    <t>Erlöse aus Netzentgelt (Leistung)</t>
  </si>
  <si>
    <t>840034</t>
  </si>
  <si>
    <t>Erlöse aus Netzentgelt (KWK)</t>
  </si>
  <si>
    <t>840035</t>
  </si>
  <si>
    <t>Erlöse aus Netzentgelt (Uml §17)</t>
  </si>
  <si>
    <t>840037</t>
  </si>
  <si>
    <t>Erlöse aus Netzentgelt (Uml §19)</t>
  </si>
  <si>
    <t>840101</t>
  </si>
  <si>
    <t>Erlöse aus Strom Umlagen u. Abgaben</t>
  </si>
  <si>
    <t>840102</t>
  </si>
  <si>
    <t>Erlöse aus Strom Messkosten</t>
  </si>
  <si>
    <t>840200</t>
  </si>
  <si>
    <t>Mietnebenkosten Strom</t>
  </si>
  <si>
    <t>99700015</t>
  </si>
  <si>
    <t>Gen. Mietvertrag Nebenkosten Strom</t>
  </si>
  <si>
    <t>Bisher 99700015 Gen. Mietvertrag Nebenkosten Strom: kundeneigenes Verrechnungskonto außerhalb der Bilanzstruktur, kein Erlöskonto. In Gross Revenue führt [Y] nur generische Erlöskonten (41000000 Inland, 41001000 Ausland, 41001500 Verbundene); ein Konto für Erlöse aus Nebenkosten- und Versorgungsleistungen (Strom, Netzentgelte, Wärme, Mietnebenkosten) existiert nicht. Entscheidung vom 02.10.2026: Neuanlage als eigenes Erlöskonto. Nummer, Bezeichnung und Kopiervorlage siehe Blatt Neuanlagen; Zuordnung zu Gross Revenue und zur Erlösgruppe der Kunden-GuV. Hinweis: Bei Abbildung der Mietnebenkosten im Vertrags- und Leasingmanagement bucht der Standard auf 70800100 Service Income - Real Estate (in FPA1 nicht zugeordnet); die Kontenfindung ist dann umzustellen. Die Trennung nach Strom, Netzentgelten und Umlagen ist energie- und steuerrechtlich relevant.</t>
  </si>
  <si>
    <t>840201</t>
  </si>
  <si>
    <t>Mietnebenkosten Heizung</t>
  </si>
  <si>
    <t>Bisher ohne Zuordnung. In Gross Revenue führt [Y] nur generische Erlöskonten (41000000 Inland, 41001000 Ausland, 41001500 Verbundene); ein Konto für Erlöse aus Nebenkosten- und Versorgungsleistungen (Strom, Netzentgelte, Wärme, Mietnebenkosten) existiert nicht. Entscheidung vom 02.10.2026: Neuanlage als eigenes Erlöskonto. Nummer, Bezeichnung und Kopiervorlage siehe Blatt Neuanlagen; Zuordnung zu Gross Revenue und zur Erlösgruppe der Kunden-GuV. Hinweis: Bei Abbildung der Mietnebenkosten im Vertrags- und Leasingmanagement bucht der Standard auf 70800100 Service Income - Real Estate (in FPA1 nicht zugeordnet); die Kontenfindung ist dann umzustellen. Die Trennung nach Strom, Netzentgelten und Umlagen ist energie- und steuerrechtlich relevant.</t>
  </si>
  <si>
    <t>840202</t>
  </si>
  <si>
    <t>Mietnebenkosten Klima</t>
  </si>
  <si>
    <t>840203</t>
  </si>
  <si>
    <t>Mietnebenkosten Lüftung</t>
  </si>
  <si>
    <t>840204</t>
  </si>
  <si>
    <t>Mietnebenkosten Wasser /Abwasser kalt</t>
  </si>
  <si>
    <t>840205</t>
  </si>
  <si>
    <t>Mietnebenkosten Wasser /Abwasser warm</t>
  </si>
  <si>
    <t>840206</t>
  </si>
  <si>
    <t>Mietnebenkosten Pauschalen</t>
  </si>
  <si>
    <t>841000</t>
  </si>
  <si>
    <t>Erlöse aus Wärmeenergie</t>
  </si>
  <si>
    <t>846000</t>
  </si>
  <si>
    <t>Erlöse aus Versorg.Leist. VIDEO/FLUGINFO/ELA-ANL.</t>
  </si>
  <si>
    <t>813051</t>
  </si>
  <si>
    <t>Nutzungsentgelt FDG-Lounges</t>
  </si>
  <si>
    <t>GuV &gt; 1. Umsatzerlöse &gt; Sonstige Erlöse [3011070/00]</t>
  </si>
  <si>
    <t>Bisher ohne Zuordnung. In Gross Revenue führt [Y] nur generische Erlöskonten (41000000 Inland, 41001000 Ausland, 41001500 Verbundene); ein Konto für diese flughafenspezifische Erlösart existiert nicht. Entscheidung vom 02.10.2026: Neuanlage als eigenes Erlöskonto. Nummer, Bezeichnung und Kopiervorlage siehe Blatt Neuanlagen; Zuordnung zu Gross Revenue und zur Erlösgruppe der Kunden-GuV.</t>
  </si>
  <si>
    <t>863000</t>
  </si>
  <si>
    <t>Erlöse aus Leistungen Werkstätten</t>
  </si>
  <si>
    <t>Bezeichnung als allgemeiner Leistungserlös plausibel, 70800200 ist in FPA1 aber keiner Position zugeordnet. In Gross Revenue führt [Y] nur generische Erlöskonten (41000000 Inland, 41001000 Ausland, 41001500 Verbundene); ein Konto für Erlöse aus Werkstattleistungen (eigene Erlösart des Kunden) existiert nicht. Entscheidung vom 02.10.2026: Neuanlage als eigenes Erlöskonto. Nummer, Bezeichnung und Kopiervorlage siehe Blatt Neuanlagen; Zuordnung zu Gross Revenue und zur Erlösgruppe der Kunden-GuV.</t>
  </si>
  <si>
    <t>863010</t>
  </si>
  <si>
    <t>Erlöse aus Verkäufen</t>
  </si>
  <si>
    <t>Erlöse Inland - Erzeugnis / Revenue Domestic - Product</t>
  </si>
  <si>
    <t>Bisher Erlöse aus Leistungen - Sonstige: Verkäufe sind keine Dienstleistung, das Konto ist in FPA1 nicht zugeordnet. Neu Revenue Domestic - Product (Warenverkäufe Inland) in Gross Revenue.</t>
  </si>
  <si>
    <t>863100</t>
  </si>
  <si>
    <t>Erlöse aus Weiterberechnung</t>
  </si>
  <si>
    <t>Bezeichnung als allgemeiner Leistungserlös plausibel, 70800200 ist in FPA1 aber keiner Position zugeordnet. In Gross Revenue führt [Y] nur generische Erlöskonten (41000000 Inland, 41001000 Ausland, 41001500 Verbundene); ein Konto für Erlöse aus Weiterberechnungen (Abstimmung mit den Weiterberechnungskonten 529xxx) existiert nicht. Entscheidung vom 02.10.2026: Neuanlage als eigenes Erlöskonto. Nummer, Bezeichnung und Kopiervorlage siehe Blatt Neuanlagen; Zuordnung zu Gross Revenue und zur Erlösgruppe der Kunden-GuV.</t>
  </si>
  <si>
    <t>863300</t>
  </si>
  <si>
    <t>Erlöse aus  Lieferungen und Leistungen</t>
  </si>
  <si>
    <t>Bezeichnung passt, 70800200 ist in FPA1 aber keiner Position zugeordnet. Neu Revenue Domestic - Product als allgemeines Erlöskonto für Lieferungen und Leistungen in Gross Revenue.</t>
  </si>
  <si>
    <t>863310</t>
  </si>
  <si>
    <t>Erlöse aus Kofferkuli</t>
  </si>
  <si>
    <t>Bisher Erlöse aus Leistungen - Sonstige (70800200): in FPA1 keiner Position zugeordnet und generisch. In Gross Revenue führt [Y] nur generische Erlöskonten (41000000 Inland, 41001000 Ausland, 41001500 Verbundene); ein Konto für diese flughafenspezifische Erlösart existiert nicht. Entscheidung vom 02.10.2026: Neuanlage als eigenes Erlöskonto. Nummer, Bezeichnung und Kopiervorlage siehe Blatt Neuanlagen; Zuordnung zu Gross Revenue und zur Erlösgruppe der Kunden-GuV.</t>
  </si>
  <si>
    <t>863331</t>
  </si>
  <si>
    <t>Cute-Erlöse</t>
  </si>
  <si>
    <t>863440</t>
  </si>
  <si>
    <t>Erlöse Sky Train (VRR)</t>
  </si>
  <si>
    <t>896000</t>
  </si>
  <si>
    <t>Unberechtigte Kundenabzüge u.a. Toleranzbeträge</t>
  </si>
  <si>
    <t>44000000</t>
  </si>
  <si>
    <t>Unberechtigte Kundenabzüge</t>
  </si>
  <si>
    <t>GuV &gt; 1. Umsatzerlöse &gt; Erlösschmälerungen [3012000]</t>
  </si>
  <si>
    <t>Unberechtigte Kundenabzüge / Over/Underpayments and Unallowed Deductions</t>
  </si>
  <si>
    <t>Bezeichnung nahezu identisch, Position Sales Deductions entspricht den Erlösschmälerungen.</t>
  </si>
  <si>
    <t>870000</t>
  </si>
  <si>
    <t>Erträge aus aktivierten Eigenleistungen</t>
  </si>
  <si>
    <t>70230000</t>
  </si>
  <si>
    <t>Sonstige Erträge (TRM)</t>
  </si>
  <si>
    <t>GuV &gt; 2. Andere aktivierte Eigenleistungen [3030000]</t>
  </si>
  <si>
    <t>Neuanlage – vorgesehene Position: in FPA1 ohne Entsprechung; eigene GuV-Zeile 2 in der kundeneigenen Bilanzstruktur (ersatzweise Other Operating Revenue, FPA1/019)</t>
  </si>
  <si>
    <t>Bisher Sonstige Erträge (TRM): Treasury-Konto, in FPA1 nicht zugeordnet. Für andere aktivierte Eigenleistungen gibt es in [Y] weder ein Konto noch eine Position; 70010000 betrifft Nachaktivierungen, 70015000 die Abrechnung von Anlagen im Bau auf CO-Objekte. Entscheidung vom 02.10.2026: Neuanlage (Blatt Neuanlagen). Kein Umsatzerlös: das Konto erhält in der kundeneigenen Bilanzstruktur die eigene GuV-Zeile 2; die Abrechnungslogik der Anlagen im Bau ist darauf abzustimmen.</t>
  </si>
  <si>
    <t>202120</t>
  </si>
  <si>
    <t>Erträge aus Aufl.v.Sopo Parkhäuser</t>
  </si>
  <si>
    <t>GuV &gt; 3. Sonstige betriebliche Erträge &gt; Auflösung Sonderposten [3041000]</t>
  </si>
  <si>
    <t>Bisher Sonstige Erträge (TRM): Treasury-Konto, in FPA1 keiner Position zugeordnet. Erträge aus der Auflösung von Sonderposten weist der Kunde in einer eigenen Position aus; ein Konto dafür gibt es in [Y] nicht. Neuanlage zusammen mit den Sonderposten-Bestandskonten prüfen (Zuordnung Other Operating Revenue). Rückfall: 41090000 mit Verlust des gesonderten Ausweises.</t>
  </si>
  <si>
    <t>202122</t>
  </si>
  <si>
    <t>Erträge aus Aufl.v.Sopo Sky Train</t>
  </si>
  <si>
    <t>202123</t>
  </si>
  <si>
    <t>Erträge aus Aufl.v.Sopo IC-Bahnhof</t>
  </si>
  <si>
    <t>202124</t>
  </si>
  <si>
    <t>Erträge aus Aufl.v.Sopo BISAWA</t>
  </si>
  <si>
    <t>202125</t>
  </si>
  <si>
    <t>Erträge aus Aufl.v.Sopo Bundespolizei</t>
  </si>
  <si>
    <t>202140</t>
  </si>
  <si>
    <t>Erträge aus abgeschriebenen Forderungen</t>
  </si>
  <si>
    <t>GuV &gt; 3. Sonstige betriebliche Erträge &gt; übrige (periodenfremd, abgeschriebene Forderungen) [3042010]</t>
  </si>
  <si>
    <t>41090000</t>
  </si>
  <si>
    <t>Sonstige betriebliche Erträge / Other Operating Revenue</t>
  </si>
  <si>
    <t>Bisher Sonstige Erträge (TRM): Treasury-Konto, in FPA1 keiner Position zugeordnet. Neu Other Operating Revenue (Sonstige betriebliche Erträge). n:1: 41090000 wird zum Sammelkonto der sonstigen betrieblichen Erträge; die Trennung nach Ertragsart geht verloren – eigene Konten prüfen, soweit für Anhang oder Steuer erforderlich.</t>
  </si>
  <si>
    <t>291000</t>
  </si>
  <si>
    <t>Periodenfremde Erträge</t>
  </si>
  <si>
    <t>Sonstige betriebliche Erträge</t>
  </si>
  <si>
    <t>Bezeichnung (Sonstige betriebliche Erträge) und Position passen. Periodenfremde Erträge sind im Anhang anzugeben (§ 285 Nr. 32 HGB) – auf dem Sammelkonto nicht mehr getrennt, eigenes Konto prüfen.</t>
  </si>
  <si>
    <t>200100</t>
  </si>
  <si>
    <t>Erträge aus dem Abgang von Gegenst. d. Anlagever.</t>
  </si>
  <si>
    <t>GuV &gt; 3. Sonstige betriebliche Erträge &gt; übrige [3042000/00]</t>
  </si>
  <si>
    <t>71010100</t>
  </si>
  <si>
    <t>Gain from Asset Transactions</t>
  </si>
  <si>
    <t>Bisher Sonstige Erträge (TRM): Treasury-Konto, in FPA1 keiner Position zugeordnet. Neu Gain from Asset Transactions (Ertrag aus Anlagenabgang) in Other Operating Revenue.</t>
  </si>
  <si>
    <t>202100</t>
  </si>
  <si>
    <t>Bezeichnung identisch, Position Other Operating Revenue passt.</t>
  </si>
  <si>
    <t>202101</t>
  </si>
  <si>
    <t>Erträge aus Konventionalstrafen</t>
  </si>
  <si>
    <t>Bisher Sonstige Erträge (TRM): Treasury-Konto, in FPA1 keiner Position zugeordnet. Neu Other Operating Revenue. n:1: 41090000 wird zum Sammelkonto der sonstigen betrieblichen Erträge; die Trennung nach Ertragsart geht verloren – eigene Konten prüfen, soweit für Anhang oder Steuer erforderlich.</t>
  </si>
  <si>
    <t>202110</t>
  </si>
  <si>
    <t>Erträge aus Zuschreibungen aus Anlagevermögen</t>
  </si>
  <si>
    <t>71010200</t>
  </si>
  <si>
    <t>Ertrag aus Zuschreibungen des Anlagevermögens</t>
  </si>
  <si>
    <t>Not assigned (in FPA1 keiner Position zugeordnet); laut Entscheidung vom 02.10.2026 in der kundeneigenen Bilanzstruktur zugeordnet: GuV &gt; 3. Sonstige betriebliche Erträge</t>
  </si>
  <si>
    <t>Ertrag aus Zuschreibungen des Anlagevermögens / Gain from Write Up of Fixed Assets</t>
  </si>
  <si>
    <t>Bezeichnung passt genau (Ertrag aus Zuschreibungen des Anlagevermögens, Konto der Anlagenbuchhaltung). Das Konto ist in FPA1 keiner Position zugeordnet; laut Entscheidung vom 02.10.2026 wird es in der kundeneigenen Bilanzstruktur den sonstigen betrieblichen Erträgen zugeordnet. Damit bleibt die Zuordnung unverändert.</t>
  </si>
  <si>
    <t>202112</t>
  </si>
  <si>
    <t>Erträge aus Bestandsaufnahme Lagermaterial</t>
  </si>
  <si>
    <t>52501000</t>
  </si>
  <si>
    <t>Ertrag aus Inventurdifferenzen (Roh/Handel) / Gain Inventory Variance (Raw &amp; Trade)</t>
  </si>
  <si>
    <t>Bisher Sonstige Erträge (TRM): Treasury-Konto, in FPA1 keiner Position zugeordnet. Erträge aus der Bestandsaufnahme sind Inventurdifferenzen; neu Gain Inventory Variance (Raw &amp; Trade) in Other Operating Revenue.</t>
  </si>
  <si>
    <t>202130</t>
  </si>
  <si>
    <t>Erträge aus Zuschüssen und Zulagen</t>
  </si>
  <si>
    <t>215001</t>
  </si>
  <si>
    <t>Auflösung EWB auf Forderungen</t>
  </si>
  <si>
    <t>62000000</t>
  </si>
  <si>
    <t>Aufw. uneinbr. Ford.</t>
  </si>
  <si>
    <t>Bisher Aufwandskonto für uneinbringliche Forderungen (Other Operating Expense); die Auflösung von Wertberichtigungen weist der Kunde als Ertrag aus. Neu Other Operating Revenue. n:1: 41090000 wird zum Sammelkonto der sonstigen betrieblichen Erträge; die Trennung nach Ertragsart geht verloren – eigene Konten prüfen, soweit für Anhang oder Steuer erforderlich.</t>
  </si>
  <si>
    <t>215100</t>
  </si>
  <si>
    <t>Auflösung von Rückstellungen</t>
  </si>
  <si>
    <t>66000500</t>
  </si>
  <si>
    <t>Erträge - Kürzung von Rückstellungen / Income - reduction in provisions</t>
  </si>
  <si>
    <t>Bisher Bilanzkonto Sonstige Rückstellungen für ein Ertragskonto. Neu Income - reduction in provisions (Erträge aus der Auflösung von Rückstellungen) in Other Operating Revenue.</t>
  </si>
  <si>
    <t>215101</t>
  </si>
  <si>
    <t>Auflösung von RST Marketingsupports</t>
  </si>
  <si>
    <t>Bisher ohne Zuordnung. Neu Income - reduction in provisions in Other Operating Revenue. n:1 mit 215100.</t>
  </si>
  <si>
    <t>280002</t>
  </si>
  <si>
    <t>Erträge aus Mahngebühren (Debitoren)</t>
  </si>
  <si>
    <t>866000</t>
  </si>
  <si>
    <t>Eigenanteil der Mitarbeiter f. Berufs-u.Schutzklei</t>
  </si>
  <si>
    <t>Bisher ohne Zuordnung. Kostenbeteiligung der Mitarbeiter; neu Other Operating Revenue. n:1: 41090000 wird zum Sammelkonto der sonstigen betrieblichen Erträge; die Trennung nach Ertragsart geht verloren – eigene Konten prüfen, soweit für Anhang oder Steuer erforderlich.</t>
  </si>
  <si>
    <t>867000</t>
  </si>
  <si>
    <t>Erlöse aus Anlagenabgang (Verkauf Anlagegüter)</t>
  </si>
  <si>
    <t>70020000</t>
  </si>
  <si>
    <t>Ertrag aus Anlagenabgang / Revenue from Fixed Asset Sale</t>
  </si>
  <si>
    <t>Bisher Erlöse Inland - Erzeugnis (Gross Revenue): der Kunde weist den Verkaufserlös aus Anlagenabgang unter sonstige betriebliche Erträge aus. Neu das Konto der Anlagenbuchhaltung 70020000 Revenue from Fixed Asset Sale. Es ist in FPA1 keiner Position zugeordnet (saldiert sich mit 70030000 zu null); laut Entscheidung vom 02.10.2026 werden beide Konten in der kundeneigenen Bilanzstruktur den sonstigen betrieblichen Erträgen zugeordnet.</t>
  </si>
  <si>
    <t>867001</t>
  </si>
  <si>
    <t>Verrechnung Anlagenabgang (Korrektur Umsatz)</t>
  </si>
  <si>
    <t>70030000</t>
  </si>
  <si>
    <t>Verrechnungskonto Anlagenabgang</t>
  </si>
  <si>
    <t>Verrechnungskonto Anlagenabgang / Clearing Account Asset Disposals</t>
  </si>
  <si>
    <t>Bezeichnung passt genau (Verrechnungskonto Anlagenabgang). Das Konto ist in FPA1 keiner Position zugeordnet (saldiert sich mit 70020000 zu null); laut Entscheidung vom 02.10.2026 werden beide Konten in der kundeneigenen Bilanzstruktur den sonstigen betrieblichen Erträgen zugeordnet. Damit bleibt die Zuordnung unverändert.</t>
  </si>
  <si>
    <t>781559</t>
  </si>
  <si>
    <t>890000</t>
  </si>
  <si>
    <t>Kostengutschriften Sonstige</t>
  </si>
  <si>
    <t>Bisher ohne Zuordnung. Neu Other Operating Revenue. n:1: 41090000 wird zum Sammelkonto der sonstigen betrieblichen Erträge; die Trennung nach Ertragsart geht verloren – eigene Konten prüfen, soweit für Anhang oder Steuer erforderlich.</t>
  </si>
  <si>
    <t>890001</t>
  </si>
  <si>
    <t>Erträge Versich. u. Schadensersatz</t>
  </si>
  <si>
    <t>231000</t>
  </si>
  <si>
    <t>Preisdifferenzen (Aufwand)</t>
  </si>
  <si>
    <t>52042000</t>
  </si>
  <si>
    <t>Aufwand aus Preisdifferenzen (PRL)</t>
  </si>
  <si>
    <t>GuV &gt; 4a. Materialaufwand &gt; Roh-, Hilfs- und Betriebsstoffe (Materialverbrauch) [3051010]</t>
  </si>
  <si>
    <t>52041000</t>
  </si>
  <si>
    <t>Loss Price Variance (PRD)</t>
  </si>
  <si>
    <t>Text passt, das bisherige Konto gehört aber zum Vorgang PRL (Preisdifferenzen aus dem Material-Ledger). Allgemeine Einkaufspreisdifferenzen laufen über Loss Price Variance (PRD) in Material Expense.</t>
  </si>
  <si>
    <t>232000</t>
  </si>
  <si>
    <t>Aufwand aus Umbewertung</t>
  </si>
  <si>
    <t>52031000</t>
  </si>
  <si>
    <t>Aufwand aus Umbewertung Fremderzeugnisse</t>
  </si>
  <si>
    <t>Aufwand aus Umbewertung Fremderzeugnisse / Loss from Valuation of External Products</t>
  </si>
  <si>
    <t>Bezeichnung (Aufwand aus Umbewertung Fremderzeugnisse) und Position Material Expense passen. Je nach Buchungsvorgang (Preisänderung) kommt auch 52030000 Loss from Revaluation in Betracht (gleiche Position).</t>
  </si>
  <si>
    <t>233000</t>
  </si>
  <si>
    <t>AUFWAND AUS INVENTURDIFFERENZEN</t>
  </si>
  <si>
    <t>52003000</t>
  </si>
  <si>
    <t>Aufwand aus Inventurdifferenzen (Halbf./Fertigerz)</t>
  </si>
  <si>
    <t>52001000</t>
  </si>
  <si>
    <t>Loss Inventory Variance (Raw &amp; Trade)</t>
  </si>
  <si>
    <t>Bisher Inventurdifferenzen Halb-/Fertigerzeugnisse; der Kunde führt nur RHB-Bestände. Neu Loss Inventory Variance (Raw &amp; Trade) in Material Expense.</t>
  </si>
  <si>
    <t>276000</t>
  </si>
  <si>
    <t>Skonto-Erträge - Lieferer-Skonto</t>
  </si>
  <si>
    <t>70040000</t>
  </si>
  <si>
    <t>Discount Received</t>
  </si>
  <si>
    <t>Bisher Sonstige Erträge (TRM): Treasury-Konto, in FPA1 nicht zugeordnet. Für Lieferantenskonti führt [Y] Discount Received, das wie beim Kunden in Material Expense ausgewiesen wird.</t>
  </si>
  <si>
    <t>281100</t>
  </si>
  <si>
    <t>Preidifferenzen (Ertrag)</t>
  </si>
  <si>
    <t>Ertrag aus Anlagenabgang</t>
  </si>
  <si>
    <t>52541000</t>
  </si>
  <si>
    <t>Gain Price Variance (PRD)</t>
  </si>
  <si>
    <t>Bisher Ertrag aus Anlagenabgang: falsch. Fachlich passt Gain Price Variance (PRD); dieses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t>
  </si>
  <si>
    <t>282000</t>
  </si>
  <si>
    <t>Ertrag aus Umbewertung                           .</t>
  </si>
  <si>
    <t>52531000</t>
  </si>
  <si>
    <t>Ertrag aus Umbewertung Fremderzeugnisse</t>
  </si>
  <si>
    <t>Ertrag aus Umbewertung Fremderzeugnisse / Gain from Valuation of External Products</t>
  </si>
  <si>
    <t>Bezeichnung passt (Ertrag aus Umbewertung Fremderzeugnisse); das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t>
  </si>
  <si>
    <t>283000</t>
  </si>
  <si>
    <t>ERTRAG AUS INVENTURDIFFERENZEN</t>
  </si>
  <si>
    <t>Ertrag aus Inventurdifferenzen (Roh/Handel)</t>
  </si>
  <si>
    <t>Bezeichnung passt (Ertrag aus Inventurdifferenzen Roh/Handel); das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 52501000 ist zugleich Zielkonto der Erträge aus Bestandsaufnahme (202112) in den sonstigen betrieblichen Erträgen.</t>
  </si>
  <si>
    <t>500009</t>
  </si>
  <si>
    <t>Verbrauch aus Verschrottung</t>
  </si>
  <si>
    <t>51500000</t>
  </si>
  <si>
    <t>Verbrauch Verpackung</t>
  </si>
  <si>
    <t>54051000</t>
  </si>
  <si>
    <t>Inventory Change - Scrap External Products</t>
  </si>
  <si>
    <t>Bisher Verbrauch Verpackung: anderer Sachverhalt. Für Verschrottung führt [Y] Inventory Change - Scrap External Products in Material Expense.</t>
  </si>
  <si>
    <t>500019</t>
  </si>
  <si>
    <t>Material Verbrauch Kfz-Werkstatt</t>
  </si>
  <si>
    <t>51100000</t>
  </si>
  <si>
    <t>Verbrauch - Rohstoff</t>
  </si>
  <si>
    <t>Verbrauch - Rohstoff / Consumption - Raw Material</t>
  </si>
  <si>
    <t>Bezeichnung (Verbrauch Rohstoff) und Position passen.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</si>
  <si>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500029</t>
  </si>
  <si>
    <t>Material Verbrauch Klempnerei</t>
  </si>
  <si>
    <t>51950000</t>
  </si>
  <si>
    <t>Verbrauch Lohnbearbeitung</t>
  </si>
  <si>
    <t>Bisher Verbrauch Lohnbearbeitung: es liegt keine Lohnbearbeitung vor.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</si>
  <si>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500039</t>
  </si>
  <si>
    <t>Materialverbrauch Schreinerei/Schlüsseldienst</t>
  </si>
  <si>
    <t>Bisher ohne Zuordnung.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</si>
  <si>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500049</t>
  </si>
  <si>
    <t>Materialverbrauch Normteile</t>
  </si>
  <si>
    <t>51700000</t>
  </si>
  <si>
    <t>Verbrauch Reparaturmaterial</t>
  </si>
  <si>
    <t>Bisher Verbrauch Reparaturmaterial: Normteile bzw. Verbrauchsmaterial sind kein Reparaturmaterial im engeren Sinn; Position passte bereits.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</si>
  <si>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500059</t>
  </si>
  <si>
    <t>Materialverbrauch Mechanikerwerkstatt</t>
  </si>
  <si>
    <t>65000500</t>
  </si>
  <si>
    <t>Materialverbrauch ohne Produktion</t>
  </si>
  <si>
    <t>Bezeichnung (Materialverbrauch ohne Produktion) plausibel, das Konto liegt aber in Other Operating Expense, der Kunde weist im Materialaufwand aus.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</si>
  <si>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500069</t>
  </si>
  <si>
    <t>Materialverbrauch Heizungsdienst</t>
  </si>
  <si>
    <t>500079</t>
  </si>
  <si>
    <t>Materialverbrauch Schlosserei</t>
  </si>
  <si>
    <t>500089</t>
  </si>
  <si>
    <t>Materialverbrauch E-Werkstatt</t>
  </si>
  <si>
    <t>500099</t>
  </si>
  <si>
    <t>Materialverbrauch HF-Werkstatt</t>
  </si>
  <si>
    <t>52053000</t>
  </si>
  <si>
    <t>Aufwand aus Konsignationsverbrauch (HF/FE)</t>
  </si>
  <si>
    <t>Bisher Aufwand aus Konsignationsverbrauch Halb-/Fertigerzeugnisse: anderer Sachverhalt.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</si>
  <si>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080116</t>
  </si>
  <si>
    <t>n. d.Eigenkapital gedeckter Fehlbetrag</t>
  </si>
  <si>
    <t>Aktiva &gt; E. Nicht durch Eigenkapital gedeckter Fehlbetrag [1090000]</t>
  </si>
  <si>
    <t>Bisher ohne Zuordnung. Reines Ausweiskonto (Umgliederung des negativen Eigenkapitals auf die Aktivseite, Gegenkonto 080117); kein YCOA-Konto und keine Position im SAP-Standard. Neuanlage prüfen oder Ausweis nur in der Bilanzstruktur lösen.</t>
  </si>
  <si>
    <t>500119</t>
  </si>
  <si>
    <t>Verbrauch Öle, Schmierstoffe, u.ä.</t>
  </si>
  <si>
    <t>500139</t>
  </si>
  <si>
    <t>Materialverbrauch Bauabteilung</t>
  </si>
  <si>
    <t>500149</t>
  </si>
  <si>
    <t>Verbrauch Werkzeuge</t>
  </si>
  <si>
    <t>Bisher Verbrauch Verpackung: anderer Sachverhalt.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</si>
  <si>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500159</t>
  </si>
  <si>
    <t>Verbrauch Dienst- und Schutzkleidung</t>
  </si>
  <si>
    <t>500169</t>
  </si>
  <si>
    <t>Materialverbrauch Malerwerkstatt</t>
  </si>
  <si>
    <t>52523000</t>
  </si>
  <si>
    <t>Ertrag aus Verbrauch für QM (Halbfabr./Fertigerz.)</t>
  </si>
  <si>
    <t>Bisher Ertragskonto Verbrauch für Qualitätsprüfung (Other Operating Revenue): Kontoart und Position falsch.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</si>
  <si>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500239</t>
  </si>
  <si>
    <t>Verbrauch Heizstoffe</t>
  </si>
  <si>
    <t>500249</t>
  </si>
  <si>
    <t>Verbrauch Enteisungsmittel</t>
  </si>
  <si>
    <t>510000</t>
  </si>
  <si>
    <t>Material für Instandhaltung und Umbau</t>
  </si>
  <si>
    <t>Verbrauch Reparaturmaterial / Consumption - Repair Material</t>
  </si>
  <si>
    <t>Bezeichnung Sonstiges Material plausibel, 65200000 liegt aber in Office Expense; der Kunde weist im Materialaufwand aus. Neu Consumption - Repair Material (Instandhaltungsmaterial) in Material Expense.</t>
  </si>
  <si>
    <t>510100</t>
  </si>
  <si>
    <t>Bezeichnung identisch (Sonstiges Material), 65200000 liegt aber in Office Expense; der Kunde weist im Materialaufwand aus. Neu Consumption - Raw Material in Material Expense.</t>
  </si>
  <si>
    <t>510259</t>
  </si>
  <si>
    <t>Kfz-Betriebsstoffe</t>
  </si>
  <si>
    <t>75004010</t>
  </si>
  <si>
    <t>Kfz- u. Wasserfahrzeugsteuer</t>
  </si>
  <si>
    <t>Bisher Kfz- und Wasserfahrzeugsteuer (nicht in [Y]): Betriebsstoffe sind keine Steuer. Neu Consumption - Raw Material in Material Expense; 65003000 Vehicle Costs läge in Other Operating Expense und passt nicht zum Kundenausweis.</t>
  </si>
  <si>
    <t>662020</t>
  </si>
  <si>
    <t>Marketingzuschüsse</t>
  </si>
  <si>
    <t>65301000</t>
  </si>
  <si>
    <t>Marketingaufwend.</t>
  </si>
  <si>
    <t>Bezeichnung Marketingaufwendungen plausibel, 65301000 liegt aber in Other Operating Expense; der Kunde weist das Konto mit Habensaldo im Materialaufwand aus. Inhalt unklar (erhaltene Zuschüsse oder Aufwandsminderung?). Fachlich klären; bei Beibehaltung des Ausweises fehlt ein passendes Konto in Material Expense.</t>
  </si>
  <si>
    <t>600000</t>
  </si>
  <si>
    <t>Strom</t>
  </si>
  <si>
    <t>63001000</t>
  </si>
  <si>
    <t>Strom- und Gaskosten</t>
  </si>
  <si>
    <t>GuV &gt; 4a. Materialaufwand &gt; Roh-, Hilfs- und Betriebsstoffe (Energie und Medien) [3051020]</t>
  </si>
  <si>
    <t>Net Income &gt; Operating Income &gt; Operating Expense &gt; Building Expense &gt; Utilities Expense</t>
  </si>
  <si>
    <t>Strom- und Gaskosten / Electricity and other Utilities</t>
  </si>
  <si>
    <t>Bezeichnung (Strom- und Gaskosten) passt; Position Utilities Expense entspricht dem Energiebezug im Materialaufwand. n:1: 63001000 wird zum Sammelkonto für Energie; die Trennung nach Energieart, Netzentgelten und Umlagen geht verloren (Weiterberechnung an Mieter, Strom- und Energiesteuer) – eigene Konten prüfen.</t>
  </si>
  <si>
    <t>600001</t>
  </si>
  <si>
    <t>Strom Netznutzungentgelt + Umlagen u. Abgaben</t>
  </si>
  <si>
    <t>Bezeichnung (Strom- und Gaskosten) und Position Utilities Expense passen. n:1: 63001000 wird zum Sammelkonto für Energie; die Trennung nach Energieart, Netzentgelten und Umlagen geht verloren (Weiterberechnung an Mieter, Strom- und Energiesteuer) – eigene Konten prüfen.</t>
  </si>
  <si>
    <t>600003</t>
  </si>
  <si>
    <t>Abgrenzung Strom EEG, Arbeitspreis, Steuern</t>
  </si>
  <si>
    <t>21600000</t>
  </si>
  <si>
    <t>Abgrenzung für latente Steuern</t>
  </si>
  <si>
    <t>Bisher Bilanzkonto Abgrenzung für latente Steuern für ein Aufwandskonto (Texttreffer Abgrenzung/Steuern). Neu Electricity and other Utilities in Utilities Expense. n:1: 63001000 wird zum Sammelkonto für Energie; die Trennung nach Energieart, Netzentgelten und Umlagen geht verloren (Weiterberechnung an Mieter, Strom- und Energiesteuer) – eigene Konten prüfen.</t>
  </si>
  <si>
    <t>600004</t>
  </si>
  <si>
    <t>Überdeckung BHKW2</t>
  </si>
  <si>
    <t>Bisher ohne Zuordnung. Inhalt nicht eindeutig (Überdeckung BHKW mit Habensaldo innerhalb des Energieaufwands). Vorläufig Electricity and other Utilities; fachlich klären.</t>
  </si>
  <si>
    <t>600050</t>
  </si>
  <si>
    <t>Kälteerzeugung/Klimatisierung</t>
  </si>
  <si>
    <t>Bisher ohne Zuordnung. Kälteerzeugung als Energiebezug; neu Electricity and other Utilities in Utilities Expense. n:1: 63001000 wird zum Sammelkonto für Energie; die Trennung nach Energieart, Netzentgelten und Umlagen geht verloren (Weiterberechnung an Mieter, Strom- und Energiesteuer) – eigene Konten prüfen.</t>
  </si>
  <si>
    <t>600060</t>
  </si>
  <si>
    <t>Wärme/Kälteverteilung</t>
  </si>
  <si>
    <t>61061000</t>
  </si>
  <si>
    <t>Arbeitgeberleistungen</t>
  </si>
  <si>
    <t>Net Income &gt; Operating Income &gt; Operating Expense &gt; Employee Expense &gt; Payroll and Benefits &gt; Payroll Benefits</t>
  </si>
  <si>
    <t>Bisher Arbeitgeberleistungen (Personalaufwand): falsch. Neu Electricity and other Utilities in Utilities Expense. n:1: 63001000 wird zum Sammelkonto für Energie; die Trennung nach Energieart, Netzentgelten und Umlagen geht verloren (Weiterberechnung an Mieter, Strom- und Energiesteuer) – eigene Konten prüfen.</t>
  </si>
  <si>
    <t>600100</t>
  </si>
  <si>
    <t>Heizung/Gaslieferung</t>
  </si>
  <si>
    <t>Bisher ohne Zuordnung. Gaslieferung entspricht Strom- und Gaskosten (Electricity and other Utilities) in Utilities Expense. n:1: 63001000 wird zum Sammelkonto für Energie; die Trennung nach Energieart, Netzentgelten und Umlagen geht verloren (Weiterberechnung an Mieter, Strom- und Energiesteuer) – eigene Konten prüfen.</t>
  </si>
  <si>
    <t>600150</t>
  </si>
  <si>
    <t>Wärmelieferung</t>
  </si>
  <si>
    <t>Bisher ohne Zuordnung. Wärmebezug als Energiebezug; neu Electricity and other Utilities in Utilities Expense. n:1: 63001000 wird zum Sammelkonto für Energie; die Trennung nach Energieart, Netzentgelten und Umlagen geht verloren (Weiterberechnung an Mieter, Strom- und Energiesteuer) – eigene Konten prüfen.</t>
  </si>
  <si>
    <t>600200</t>
  </si>
  <si>
    <t>Wasser</t>
  </si>
  <si>
    <t>63002000</t>
  </si>
  <si>
    <t>Wasser / Water</t>
  </si>
  <si>
    <t>Bezeichnung identisch (Wasser), Position Utilities Expense passt.</t>
  </si>
  <si>
    <t>470000</t>
  </si>
  <si>
    <t>Instandhaltungs- und Umbaufremdleistungen</t>
  </si>
  <si>
    <t>GuV &gt; 4b. Materialaufwand &gt; Bezogene Leistungen (Fremdleistungen) [3052010]</t>
  </si>
  <si>
    <t>65001000</t>
  </si>
  <si>
    <t>Bezogene Dienstleistungen / Purchased Services</t>
  </si>
  <si>
    <t>Net Income &gt; Operating Income &gt; Operating Expense &gt; Employee Expense &gt; Third Party Expense</t>
  </si>
  <si>
    <t>Bisher ohne Zuordnung. Der Kunde weist Fremdinstandhaltung unter bezogene Leistungen aus; neu Purchased Services in Third Party Expense. Die Instandhaltungskonten 63000000/63008000 liegen in anderen Positionen. n:1: 65001000 wird zum Sammelkonto der bezogenen Leistungen; die Trennung nach Leistungsart geht verloren – für wesentliche Leistungsarten (Instandhaltung, Reinigung, Bodenverkehrsdienste, Sicherheit) eigene Konten prüfen.</t>
  </si>
  <si>
    <t>600400</t>
  </si>
  <si>
    <t>Gebäudeinnen-und Glasreinigung</t>
  </si>
  <si>
    <t>63008000</t>
  </si>
  <si>
    <t>Gebäude - periodischer Service</t>
  </si>
  <si>
    <t>Bezeichnung (Gebäude - periodischer Service) plausibel, 63008000 liegt aber in Office Expense; der Kunde weist unter bezogene Leistungen aus. Neu Purchased Services in Third Party Expense. n:1: 65001000 wird zum Sammelkonto der bezogenen Leistungen; die Trennung nach Leistungsart geht verloren – für wesentliche Leistungsarten (Instandhaltung, Reinigung, Bodenverkehrsdienste, Sicherheit) eigene Konten prüfen.</t>
  </si>
  <si>
    <t>600500</t>
  </si>
  <si>
    <t>Außenflächenreinigung</t>
  </si>
  <si>
    <t>61022020</t>
  </si>
  <si>
    <t>Krankheitslohnfortzahlung (AU)</t>
  </si>
  <si>
    <t>Bisher Krankheitslohnfortzahlung (Australien, nicht in [Y]): falsch. Neu Purchased Services in Third Party Expense. n:1: 65001000 wird zum Sammelkonto der bezogenen Leistungen; die Trennung nach Leistungsart geht verloren – für wesentliche Leistungsarten (Instandhaltung, Reinigung, Bodenverkehrsdienste, Sicherheit) eigene Konten prüfen.</t>
  </si>
  <si>
    <t>600600</t>
  </si>
  <si>
    <t>Kanalisationsgebühren</t>
  </si>
  <si>
    <t>Bisher ohne Zuordnung. Neu Purchased Services in Third Party Expense. n:1: 65001000 wird zum Sammelkonto der bezogenen Leistungen; die Trennung nach Leistungsart geht verloren – für wesentliche Leistungsarten (Instandhaltung, Reinigung, Bodenverkehrsdienste, Sicherheit) eigene Konten prüfen.</t>
  </si>
  <si>
    <t>600700</t>
  </si>
  <si>
    <t>Müllabfuhr und Entsorgung</t>
  </si>
  <si>
    <t>600800</t>
  </si>
  <si>
    <t>Leistungen Ground (Handling u. Cargo)</t>
  </si>
  <si>
    <t>63010100</t>
  </si>
  <si>
    <t>Aufwendungen für Leistungen - Grundstücke (ROU)</t>
  </si>
  <si>
    <t>Bisher Aufwendungen für Leistungen - Grundstücke (ROU): Texttreffer Ground/Grundstücke, in FPA1 nicht zugeordnet. Bodenverkehrsdienstleistungen sind bezogene Leistungen; neu Purchased Services in Third Party Expense. n:1: 65001000 wird zum Sammelkonto der bezogenen Leistungen; die Trennung nach Leistungsart geht verloren – für wesentliche Leistungsarten (Instandhaltung, Reinigung, Bodenverkehrsdienste, Sicherheit) eigene Konten prüfen.</t>
  </si>
  <si>
    <t>601210</t>
  </si>
  <si>
    <t>Passagierdienstleistung</t>
  </si>
  <si>
    <t>Bezogene Dienstleistungen</t>
  </si>
  <si>
    <t>Bezeichnung (Bezogene Dienstleistungen) und Position Third Party Expense passen. n:1: 65001000 wird zum Sammelkonto der bezogenen Leistungen; die Trennung nach Leistungsart geht verloren – für wesentliche Leistungsarten (Instandhaltung, Reinigung, Bodenverkehrsdienste, Sicherheit) eigene Konten prüfen.</t>
  </si>
  <si>
    <t>601250</t>
  </si>
  <si>
    <t>Dienstleistung Parken</t>
  </si>
  <si>
    <t>601400</t>
  </si>
  <si>
    <t>Flugplatzkontrolldienste (Vorfeld- / Luftbewegung)</t>
  </si>
  <si>
    <t>601410</t>
  </si>
  <si>
    <t>Datenüberlassung DFS</t>
  </si>
  <si>
    <t>601510</t>
  </si>
  <si>
    <t>Lounges</t>
  </si>
  <si>
    <t>679310</t>
  </si>
  <si>
    <t>Bewachungspersonal Objektschutz</t>
  </si>
  <si>
    <t>690005</t>
  </si>
  <si>
    <t>Pacht für Grund und Boden (Geländepacht)</t>
  </si>
  <si>
    <t>GuV &gt; 4b. Materialaufwand &gt; Bezogene Leistungen (Pacht Grund und Boden) [3052050]</t>
  </si>
  <si>
    <t>63005000</t>
  </si>
  <si>
    <t>Office/Building Rent</t>
  </si>
  <si>
    <t>Bisher ohne Zuordnung. Geländepacht als Miet-/Pachtaufwand; neu Office/Building Rent in Periodic Building Expense. Zielkonto ist auf Büro/Gebäude benannt – eigenes Pachtkonto prüfen (Erbbau-/Pachtzins, 13 Mio. EUR).</t>
  </si>
  <si>
    <t>691230</t>
  </si>
  <si>
    <t>Mietaufwendungen  unbew. WG</t>
  </si>
  <si>
    <t>63009100</t>
  </si>
  <si>
    <t>Leasingaufwendungen für Gebäude (ROU)</t>
  </si>
  <si>
    <t>GuV &gt; 4b. Materialaufwand &gt; Bezogene Leistungen (Mieten unbewegliche WG) [3052060]</t>
  </si>
  <si>
    <t>Text passt, 63009100 ist aber ein Konto der Leasingbilanzierung (Nutzungsrechte, ROU) und in FPA1 nicht zugeordnet. Neu Office/Building Rent in Periodic Building Expense.</t>
  </si>
  <si>
    <t>691206</t>
  </si>
  <si>
    <t>Leasing technische Anlagen/Betriebsvorr.</t>
  </si>
  <si>
    <t>63009300</t>
  </si>
  <si>
    <t>Leasingaufwendungen für technische Anlagen (ROU)</t>
  </si>
  <si>
    <t>GuV &gt; 4b. Materialaufwand &gt; Bezogene Leistungen (Leasing technische Anlagen) [3052070]</t>
  </si>
  <si>
    <t>Text passt, 63009300 ist aber ein Konto der Leasingbilanzierung (Nutzungsrechte, ROU) und in FPA1 nicht zugeordnet. Der Kunde weist dieses Leasing unter bezogene Leistungen aus; neu Purchased Services in Third Party Expense, weil 63009000 Leasing Expense den Leasingaufwendungen der sonstigen betrieblichen Aufwendungen vorbehalten bleibt (ein YCOA-Konto je GuV-Zeile des Kunden). Konto 2025 ohne Saldo.</t>
  </si>
  <si>
    <t>621010</t>
  </si>
  <si>
    <t>Entgelte für Stammstellen</t>
  </si>
  <si>
    <t>GuV &gt; 5a. Personalaufwand &gt; Löhne und Gehälter (Budget) [3061010]</t>
  </si>
  <si>
    <t>61100000</t>
  </si>
  <si>
    <t>Gehälter / Payroll Expense - Salaries</t>
  </si>
  <si>
    <t>Net Income &gt; Operating Income &gt; Operating Expense &gt; Employee Expense &gt; Payroll and Benefits &gt; Payroll Salary &amp; Wages</t>
  </si>
  <si>
    <t>Bisher ohne Zuordnung. Tarifentgelte der Stammbelegschaft; neu Payroll Expense - Salaries in Payroll Salary &amp; Wages. Ein allgemeines Lohnkonto führt [Y] nicht (nur 61103000 Fertigungslöhne). n:1: die Trennung nach Mitarbeitergruppe (Stammstellen, Aushilfen, Auszubildende) geht auf Kontenebene verloren; sie bleibt über die Personalabrechnung auswertbar.</t>
  </si>
  <si>
    <t>621011</t>
  </si>
  <si>
    <t>Gehälter für Stammstellen (Überstunden)</t>
  </si>
  <si>
    <t>Gehälter</t>
  </si>
  <si>
    <t>61021000</t>
  </si>
  <si>
    <t>Überstundenzuschläge Gehälter / Payroll - Overtime Salaries</t>
  </si>
  <si>
    <t>Net Income &gt; Operating Income &gt; Operating Expense &gt; Employee Expense &gt; Payroll and Benefits &gt; Payroll Overtime</t>
  </si>
  <si>
    <t>Bisher Gehälter; für Überstunden führt [Y] ein eigenes Konto. Neu Payroll - Overtime Salaries in Payroll Overtime.</t>
  </si>
  <si>
    <t>621020</t>
  </si>
  <si>
    <t>Entgelte für Aushilfen</t>
  </si>
  <si>
    <t>Bisher ohne Zuordnung. Neu Payroll Expense - Salaries in Payroll Salary &amp; Wages. n:1: die Trennung nach Mitarbeitergruppe (Stammstellen, Aushilfen, Auszubildende) geht auf Kontenebene verloren; sie bleibt über die Personalabrechnung auswertbar.</t>
  </si>
  <si>
    <t>621030</t>
  </si>
  <si>
    <t>Entgelte für Auszubildende</t>
  </si>
  <si>
    <t>624510</t>
  </si>
  <si>
    <t>Jahressonderzahlungen</t>
  </si>
  <si>
    <t>61020000</t>
  </si>
  <si>
    <t>Payroll - Bonus</t>
  </si>
  <si>
    <t>Net Income &gt; Operating Income &gt; Operating Expense &gt; Employee Expense &gt; Payroll and Benefits &gt; Payroll Bonus &amp; Commissions</t>
  </si>
  <si>
    <t>Bisher ohne Zuordnung. Jahressonderzahlung als Sonderzahlung; neu Payroll - Bonus in Payroll Bonus &amp; Commissions.</t>
  </si>
  <si>
    <t>629990</t>
  </si>
  <si>
    <t>Zuführung Rückstellung für Personalentgelte</t>
  </si>
  <si>
    <t>66019900</t>
  </si>
  <si>
    <t>Zuführung zu Rückstellungen (ZKK)</t>
  </si>
  <si>
    <t>61101000</t>
  </si>
  <si>
    <t>Sonstige Aufwendungen mit Gehaltscharakter / Payroll Expense - Other salary-related expenses</t>
  </si>
  <si>
    <t>Bezeichnung (Zuführung zu Rückstellungen) plausibel, 66019900 liegt aber in Other Operating Expense; der Kunde weist die Zuführung unter Löhne und Gehälter aus. Neu Payroll Expense - Other salary-related expenses.</t>
  </si>
  <si>
    <t>629991</t>
  </si>
  <si>
    <t>Verbrauch Rückstellung für Personalentgelte</t>
  </si>
  <si>
    <t>63000500</t>
  </si>
  <si>
    <t>Verbrauch Qualitätskontrolle Fremderz m. Kostenart</t>
  </si>
  <si>
    <t>Bisher Verbrauch Qualitätskontrolle: Texttreffer Verbrauch, falsch. Rückstellungsverbrauch für Personalentgelte gehört zu Löhne und Gehälter; neu Payroll Expense - Other salary-related expenses (wie 629990).</t>
  </si>
  <si>
    <t>623000</t>
  </si>
  <si>
    <t>VORRUHESTAND/ALTERSTEILZEIT</t>
  </si>
  <si>
    <t>GuV &gt; 5a. Personalaufwand &gt; Löhne und Gehälter (Nicht-Budget) [3061020]</t>
  </si>
  <si>
    <t>Bisher ohne Zuordnung. Entgeltbestandteil außerhalb der laufenden Vergütung; neu Payroll Expense - Other salary-related expenses in Payroll Salary &amp; Wages. n:1: Trennung (Altersteilzeit, Abfindungen, pauschale Lohnsteuer, steuerpflichtige Arbeitgeberanteile) geht verloren – lohnsteuerlich relevant, eigene Konten prüfen.</t>
  </si>
  <si>
    <t>623100</t>
  </si>
  <si>
    <t>Abfindungen</t>
  </si>
  <si>
    <t>625100</t>
  </si>
  <si>
    <t>Pauschale und übernommene Lohnsteuer</t>
  </si>
  <si>
    <t>625101</t>
  </si>
  <si>
    <t>Pauschale LST §37b n.a. BA</t>
  </si>
  <si>
    <t>Bisher ohne Zuordnung. Pauschalsteuer nach § 37b EStG, nicht abzugsfähige Betriebsausgabe: kein YCOA-Konto mit diesem Sachverhalt und Steuerbezug. Neuanlage prüfen (Zuordnung Payroll Salary &amp; Wages gemäß Kundenausweis). Rückfall: 61101000 mit Verlust der steuerlichen Kennzeichnung.</t>
  </si>
  <si>
    <t>640100</t>
  </si>
  <si>
    <t>Steuerl. AG-Anteile f. Beiträge ZVK</t>
  </si>
  <si>
    <t>61063000</t>
  </si>
  <si>
    <t>Beiträge zu Wirtschaftsverb. u. Berufsvertretungen</t>
  </si>
  <si>
    <t>Net Income &gt; Operating Income &gt; Operating Expense &gt; Employee Expense &gt; Employee Expense Other</t>
  </si>
  <si>
    <t>Bisher Beiträge zu Wirtschaftsverbänden: Texttreffer Beiträge, falsch. Steuerpflichtige Arbeitgeberanteile weist der Kunde unter Löhne und Gehälter aus; neu Payroll Expense - Other salary-related expenses.</t>
  </si>
  <si>
    <t>673510</t>
  </si>
  <si>
    <t>Steuerl. AG-Anteile für Fahrtkostenzuschüsse</t>
  </si>
  <si>
    <t>630002</t>
  </si>
  <si>
    <t>AG-Anteil zur Sozialversicherung (Stammstellen)</t>
  </si>
  <si>
    <t>61200000</t>
  </si>
  <si>
    <t>Arbeitgeberanteil zur Sozialversicherung Löhne</t>
  </si>
  <si>
    <t>GuV &gt; 5b. Personalaufwand &gt; Soziale Abgaben [3062010]</t>
  </si>
  <si>
    <t>Net Income &gt; Operating Income &gt; Operating Expense &gt; Employee Expense &gt; Payroll and Benefits &gt; Payroll Taxes</t>
  </si>
  <si>
    <t>Arbeitgeberanteil zur Sozialversicherung Löhne / Payroll Expense - Tax and Soc Security - Wages</t>
  </si>
  <si>
    <t>Bezeichnung (Arbeitgeberanteil zur Sozialversicherung) und Position Payroll Taxes passen; das Zielkonto ist auf Löhne benannt, alternativ 61201000 für Gehälter (gleiche Position). n:1: die Trennung nach Mitarbeitergruppe (Stammstellen, Aushilfen, Auszubildende) geht auf Kontenebene verloren; sie bleibt über die Personalabrechnung auswertbar.</t>
  </si>
  <si>
    <t>630003</t>
  </si>
  <si>
    <t>AG-Anteil zur Sozialversicherung (Aushilfen)</t>
  </si>
  <si>
    <t>630004</t>
  </si>
  <si>
    <t>AG-Anteil zur Sozialversicherung (Auszubildende)</t>
  </si>
  <si>
    <t>631000</t>
  </si>
  <si>
    <t>Gesetzliche Unfallversicherung (Berufsgenossensch)</t>
  </si>
  <si>
    <t>61062000</t>
  </si>
  <si>
    <t>Workers' Compensation Association Contributions</t>
  </si>
  <si>
    <t>Bisher ohne Zuordnung. Neu Workers' Compensation Association Contributions (Beiträge Berufsgenossenschaft) in Payroll Benefits.</t>
  </si>
  <si>
    <t>632000</t>
  </si>
  <si>
    <t>Gesetzl. Soz.-Abg. - Versicherte ü. Pflichtgrenze</t>
  </si>
  <si>
    <t>Bisher ohne Zuordnung. Arbeitgeberzuschuss für Versicherte über der Pflichtgrenze als soziale Abgabe; neu Payroll Expense - Tax and Soc Security.</t>
  </si>
  <si>
    <t>632990</t>
  </si>
  <si>
    <t>Zuführung Rückstellung für soziale Abgaben</t>
  </si>
  <si>
    <t>Bezeichnung (Zuführung zu Rückstellungen) plausibel, 66019900 liegt aber in Other Operating Expense; der Kunde weist unter soziale Abgaben aus. Neu Payroll Expense - Tax and Soc Security in Payroll Taxes.</t>
  </si>
  <si>
    <t>632991</t>
  </si>
  <si>
    <t>Aufwand (Inanspr.) Rückstellungen SV</t>
  </si>
  <si>
    <t>61060000</t>
  </si>
  <si>
    <t>Aufwand für Altersversorgung</t>
  </si>
  <si>
    <t>Bisher Aufwand für Altersversorgung; der Rückstellungsverbrauch betrifft die Sozialversicherung. Neu Payroll Expense - Tax and Soc Security in Payroll Taxes.</t>
  </si>
  <si>
    <t>633000</t>
  </si>
  <si>
    <t>Beiträge zur Insolvenzsicherung</t>
  </si>
  <si>
    <t>GuV &gt; 5b. Personalaufwand &gt; Aufwendungen für Altersversorgung [3062020]</t>
  </si>
  <si>
    <t>Aufwand für Altersversorgung / Payroll Expense - Pension Contributions</t>
  </si>
  <si>
    <t>Bisher Beiträge zu Wirtschaftsverbänden (Employee Expense Other): Texttreffer Beiträge. Insolvenzsicherung gehört zur Altersversorgung; neu Payroll Expense - Pension Contributions in Payroll Benefits.</t>
  </si>
  <si>
    <t>640002</t>
  </si>
  <si>
    <t>Zusatzversorgungskasse für Stammstellen</t>
  </si>
  <si>
    <t>Bisher ohne Zuordnung. Zusatzversorgung bzw. Pensionsaufwand; neu Payroll Expense - Pension Contributions (Aufwand für Altersversorgung) in Payroll Benefits. n:1: die Trennung nach Mitarbeitergruppe (Stammstellen, Aushilfen, Auszubildende) geht auf Kontenebene verloren; sie bleibt über die Personalabrechnung auswertbar.</t>
  </si>
  <si>
    <t>640003</t>
  </si>
  <si>
    <t>Zusatzversorgungskasse für Aushilfen</t>
  </si>
  <si>
    <t>640004</t>
  </si>
  <si>
    <t>Zusatzversorgungskasse für Auszubildende</t>
  </si>
  <si>
    <t>641000</t>
  </si>
  <si>
    <t>Pensionsaufwendungen</t>
  </si>
  <si>
    <t>642000</t>
  </si>
  <si>
    <t>Beihilfen</t>
  </si>
  <si>
    <t>GuV &gt; 5b. Personalaufwand &gt; Aufwendungen für Unterstützung [3062030]</t>
  </si>
  <si>
    <t>Arbeitgeberleistungen / Payroll - Benefits</t>
  </si>
  <si>
    <t>Bisher ohne Zuordnung. Beihilfen als Aufwendungen für Unterstützung; neu Payroll - Benefits in Payroll Benefits.</t>
  </si>
  <si>
    <t>644000</t>
  </si>
  <si>
    <t>Sonstige Soziale Aufwendungen</t>
  </si>
  <si>
    <t>71000200</t>
  </si>
  <si>
    <t>Sonstige Aufwendungen (TRM)</t>
  </si>
  <si>
    <t>Bisher Sonstige Aufwendungen (TRM): Treasury-Konto, in FPA1 nicht zugeordnet. Neu Payroll - Benefits in Payroll Benefits.</t>
  </si>
  <si>
    <t>220010</t>
  </si>
  <si>
    <t>Abschreibungen auf immaterielle Wirtschaftsgüter</t>
  </si>
  <si>
    <t>64020000</t>
  </si>
  <si>
    <t>Abschreibungen auf Geringwertige Wirtschaftsgüter</t>
  </si>
  <si>
    <t>GuV &gt; 6. Abschreibungen &gt; auf immaterielle Vermögensgegenstände [3071010]</t>
  </si>
  <si>
    <t>Net Income &gt; Operating Income &gt; Operating Expense &gt; Depreciation &amp; Amortization &gt; Depreciation</t>
  </si>
  <si>
    <t>64021000</t>
  </si>
  <si>
    <t>Abschreibung auf immaterielle Vermögensgegenstände / Amortization Expense - Intangible Assets</t>
  </si>
  <si>
    <t>Net Income &gt; Operating Income &gt; Operating Expense &gt; Depreciation &amp; Amortization &gt; Amortization</t>
  </si>
  <si>
    <t>Bisher Abschreibungen auf geringwertige Wirtschaftsgüter (Depreciation). Neu Amortization Expense - Intangible Assets in Amortization, passend zum Bestandskonto 19320000; Software je Anlagenklasse auf 64008000 (gleiche Position).</t>
  </si>
  <si>
    <t>220007</t>
  </si>
  <si>
    <t>Sofortabschreibungen GWG</t>
  </si>
  <si>
    <t>64004000</t>
  </si>
  <si>
    <t>Abschreibungen auf Fahrzeuge</t>
  </si>
  <si>
    <t>GuV &gt; 6. Abschreibungen &gt; auf Sachanlagen [3072000/00]</t>
  </si>
  <si>
    <t>Abschreibungen auf Geringwertige Wirtschaftsgüter / Depreciation Expense - Low Value Assets</t>
  </si>
  <si>
    <t>Bisher Abschreibungen auf Fahrzeuge. Neu Depreciation Expense - Low Value Assets (GWG) in Depreciation.</t>
  </si>
  <si>
    <t>220009</t>
  </si>
  <si>
    <t>Abschreibungen auf das Sachanlagevermögen</t>
  </si>
  <si>
    <t>64001000</t>
  </si>
  <si>
    <t>Depreciation Expense - Buildings</t>
  </si>
  <si>
    <t>Bisher Abschreibungen auf Fahrzeuge: zu eng. Ein Sammelkonto für Abschreibungen auf Sachanlagen gibt es in YCOA nicht; die Abschreibung wird je Anlagenklasse gebucht (1:n): 64001000 Gebäude, 64002000 technische Anlagen, 64003000 Gebäudeeinbauten, 64004000 Fahrzeuge, 64005000 Betriebs- und Geschäftsausstattung, 64006000 Mobiliar, 64007000 Hardware (alle in Depreciation). Als Zielkonto ist stellvertretend 64001000 eingetragen; Aufteilung über die Kontenfindung der Anlagenbuchhaltung festlegen.</t>
  </si>
  <si>
    <t>200050</t>
  </si>
  <si>
    <t>Verluste aus dem Abgang von Gegenst. d. Anlageverm</t>
  </si>
  <si>
    <t>GuV &gt; 7. Sonstige betriebliche Aufwendungen &gt; übrige (Anlagenabgang, Wertberichtigungen, Forderungsverluste, Spenden, periodenfremd) [3082010/00]</t>
  </si>
  <si>
    <t>71010000</t>
  </si>
  <si>
    <t>Loss from Asset Transactions</t>
  </si>
  <si>
    <t>Bisher ohne Zuordnung. Neu Loss from Asset Transactions (Verlust aus Anlagenabgang) in Other Operating Expense.</t>
  </si>
  <si>
    <t>202000</t>
  </si>
  <si>
    <t>Sonstige betriebliche Aufwendungen</t>
  </si>
  <si>
    <t>94226000</t>
  </si>
  <si>
    <t>CO-PA - nicht betriebliche Aufwendungen</t>
  </si>
  <si>
    <t>Net Income &gt; Operating Income &gt; Operating Expense &gt; Secondary Accounts</t>
  </si>
  <si>
    <t>66000000</t>
  </si>
  <si>
    <t>Other Operating Expenses</t>
  </si>
  <si>
    <t>Bisher CO-PA - nicht betriebliche Aufwendungen: sekundäres Verrechnungskonto (Secondary Accounts), nicht direkt bebuchbar. Neu Other Operating Expenses (Sonstige betriebliche Aufwendungen) in Other Operating Expense.</t>
  </si>
  <si>
    <t>210100</t>
  </si>
  <si>
    <t>Bildung von PWB zu Forderungen</t>
  </si>
  <si>
    <t>12500000</t>
  </si>
  <si>
    <t>Zins-Forderungen</t>
  </si>
  <si>
    <t>62020000</t>
  </si>
  <si>
    <t>Flat-rate Value Adjustments</t>
  </si>
  <si>
    <t>Bisher Bilanzkonto Zins-Forderungen für ein Aufwandskonto. Neu Flat-rate Value Adjustments (Pauschalwertberichtigungen) in Other Operating Expense.</t>
  </si>
  <si>
    <t>210110</t>
  </si>
  <si>
    <t>Bildung von Einzel-WB zu Forderungen</t>
  </si>
  <si>
    <t>62010000</t>
  </si>
  <si>
    <t>Einstellung in Einzelwertberichtigung</t>
  </si>
  <si>
    <t>Einstellung in Einzelwertberichtigung / Individual Value Adjustments</t>
  </si>
  <si>
    <t>Bezeichnung (Einstellung in Einzelwertberichtigung) und Position Other Operating Expense passen.</t>
  </si>
  <si>
    <t>210200</t>
  </si>
  <si>
    <t>Zuführung zu Rückstellungen</t>
  </si>
  <si>
    <t>Zuführung zu Rückstellungen (ZKK) / Addition to Provisions (ZKK)</t>
  </si>
  <si>
    <t>Bezeichnung (Zuführung zu Rückstellungen) und Position Other Operating Expense passen. Das Konto trägt den Vorgangsschlüssel ZKK – Verwendbarkeit für manuelle Buchungen prüfen.</t>
  </si>
  <si>
    <t>234000</t>
  </si>
  <si>
    <t>Aufwand aus Währungskurs-Differenzen</t>
  </si>
  <si>
    <t>52080000</t>
  </si>
  <si>
    <t>Aufwand aus tol. Differenzen Sachkontenausgleich</t>
  </si>
  <si>
    <t>72010000</t>
  </si>
  <si>
    <t>Loss from Exchange Rate Differences</t>
  </si>
  <si>
    <t>Net Income &gt; Other Income and Expense &gt; Foreign Currency &gt; Foreign Currency Expense</t>
  </si>
  <si>
    <t>Bisher Aufwand aus tolerierten Differenzen beim Sachkontenausgleich: anderer Sachverhalt. Neu Loss from Exchange Rate Differences; der SAP-Standard weist Kursdifferenzen in Foreign Currency Expense aus, was den sonstigen betrieblichen Aufwendungen nach HGB sinngemäß entspricht.</t>
  </si>
  <si>
    <t>250000</t>
  </si>
  <si>
    <t>Verluste aus Forderungen</t>
  </si>
  <si>
    <t>12400000</t>
  </si>
  <si>
    <t>Zweifelhafte Forderungen</t>
  </si>
  <si>
    <t>Aufw. uneinbr. Ford. / Bad Debt Expense</t>
  </si>
  <si>
    <t>Bisher Bilanzkonto Zweifelhafte Forderungen für ein Aufwandskonto. Neu Bad Debt Expense (Aufwand uneinbringliche Forderungen) in Other Operating Expense.</t>
  </si>
  <si>
    <t>270000</t>
  </si>
  <si>
    <t>Spenden</t>
  </si>
  <si>
    <t>65004000</t>
  </si>
  <si>
    <t>Spenden / Donations</t>
  </si>
  <si>
    <t>Bezeichnung identisch (Spenden), Position Other Operating Expense passt.</t>
  </si>
  <si>
    <t>290000</t>
  </si>
  <si>
    <t>Periodenfremde Aufwendungen</t>
  </si>
  <si>
    <t>Bisher Sonstige Aufwendungen (TRM): Treasury-Konto, in FPA1 nicht zugeordnet. Neu Other Operating Expenses. Periodenfremde Aufwendungen sind im Anhang anzugeben (§ 285 Nr. 32 HGB). n:1: 66000000 wird zum Sammelkonto der sonstigen betrieblichen Aufwendungen; die Trennung nach Sachverhalt geht verloren – eigenes Konto prüfen, soweit für Anhang, Steuer oder Abstimmung erforderlich.</t>
  </si>
  <si>
    <t>529000</t>
  </si>
  <si>
    <t>An Dritte Weiterber. Instandsetzungskosten</t>
  </si>
  <si>
    <t>GuV &gt; 7. Sonstige betriebliche Aufwendungen &gt; Weiterberechnungen [3082020]</t>
  </si>
  <si>
    <t>Bisher ohne Zuordnung.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</si>
  <si>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529001</t>
  </si>
  <si>
    <t>Weiterberechnung auftragsbezogen</t>
  </si>
  <si>
    <t>529022</t>
  </si>
  <si>
    <t>Weiterberechnung Objektgesellschaften Kasernengelä</t>
  </si>
  <si>
    <t>52545000</t>
  </si>
  <si>
    <t>LeistVerrechnung Leistungstarif Periodenende (AUI)</t>
  </si>
  <si>
    <t>Bisher Leistungsverrechnung Periodenende (AUI, Ertragskonto): falsch.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</si>
  <si>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529023</t>
  </si>
  <si>
    <t>Weiterberechnung FDGHG</t>
  </si>
  <si>
    <t>529024</t>
  </si>
  <si>
    <t>Weiterberechnung SITA Airport IT GmbH</t>
  </si>
  <si>
    <t>529026</t>
  </si>
  <si>
    <t>Weiterberechnung FDSG</t>
  </si>
  <si>
    <t>529100</t>
  </si>
  <si>
    <t>Weiterberechnung FM</t>
  </si>
  <si>
    <t>Bisher Arbeitgeberleistungen (Personalaufwand): falsch.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</si>
  <si>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662000</t>
  </si>
  <si>
    <t>Aufwendungen für Öffentlichkeitsarbeit</t>
  </si>
  <si>
    <t>Sonstige Aufwendungen mit Gehaltscharakter</t>
  </si>
  <si>
    <t>GuV &gt; 7. Sonstige betriebliche Aufwendungen &gt; Öffentlichkeitsarbeit, Geschenke, Bewirtung [3082031]</t>
  </si>
  <si>
    <t>Marketingaufwend. / Marketing Expenses</t>
  </si>
  <si>
    <t>Bisher Sonstige Aufwendungen mit Gehaltscharakter (Personalaufwand): falsch. Neu Marketing Expenses in Other Operating Expense; alternativ 65002000 Advertising and Sales Costs.</t>
  </si>
  <si>
    <t>662100</t>
  </si>
  <si>
    <t>Geschenke (nicht abzugsfähig)</t>
  </si>
  <si>
    <t>22006011</t>
  </si>
  <si>
    <t>Vorsteuer - abzugsfähig</t>
  </si>
  <si>
    <t>Bisher Vorsteuer - abzugsfähig (Bilanzkonto, nicht in [Y]): Texttreffer abzugsfähig, falsch. Geschenke sind einzeln und getrennt von den übrigen Betriebsausgaben aufzuzeichnen (§ 4 Abs. 7 EStG); die Abzugsfähigkeit ist Kontomerkmal. Ein Geschenkekonto führt [Y] nicht. Neuanlage prüfen (Zuordnung Other Operating Expense). Rückfall: 65002000 Advertising and Sales Costs mit Verlust der steuerlichen Trennung.</t>
  </si>
  <si>
    <t>662200</t>
  </si>
  <si>
    <t>Geschenke (abzugsfähig)</t>
  </si>
  <si>
    <t>662219</t>
  </si>
  <si>
    <t>Werbegeschenke&lt; 50 EUR (Lagermaterial)</t>
  </si>
  <si>
    <t>Bisher ohne Zuordnung. Geschenke sind einzeln und getrennt von den übrigen Betriebsausgaben aufzuzeichnen (§ 4 Abs. 7 EStG); die Abzugsfähigkeit ist Kontomerkmal. Ein Geschenkekonto führt [Y] nicht. Neuanlage prüfen (Zuordnung Other Operating Expense). Rückfall: 65002000 Advertising and Sales Costs mit Verlust der steuerlichen Trennung.</t>
  </si>
  <si>
    <t>664000</t>
  </si>
  <si>
    <t>Bewirtungsaufwendungen- GESCHÄFTLICH</t>
  </si>
  <si>
    <t>63009500</t>
  </si>
  <si>
    <t>Leasingaufwendungen für Geschäftsausstattung (ROU)</t>
  </si>
  <si>
    <t>61006000</t>
  </si>
  <si>
    <t>Reisekosten - Bewirtung / Travel Expenses - Entertainment</t>
  </si>
  <si>
    <t>Net Income &gt; Operating Income &gt; Operating Expense &gt; Employee Expense &gt; Travel Expense</t>
  </si>
  <si>
    <t>Bisher Leasingaufwendungen Geschäftsausstattung (ROU): Texttreffer geschäftlich, falsch. Neu Travel Expenses - Entertainment (Bewirtung) in Travel Expense. Das Zielkonto ist den Reisekosten zugeordnet; Bewirtungsaufwendungen sind getrennt aufzuzeichnen (§ 4 Abs. 7 EStG) – eigenes Konto prüfen.</t>
  </si>
  <si>
    <t>664100</t>
  </si>
  <si>
    <t>Sonst. Aufwendungen im Interesse der Gesellschaft</t>
  </si>
  <si>
    <t>63010500</t>
  </si>
  <si>
    <t>Aufwendungen f. Leistungen - Geschäftsausst. (ROU)</t>
  </si>
  <si>
    <t>Bisher Aufwendungen für Leistungen - Geschäftsausstattung (ROU): falsch. Neu Other Operating Expenses. n:1: 66000000 wird zum Sammelkonto der sonstigen betrieblichen Aufwendungen; die Trennung nach Sachverhalt geht verloren – eigenes Konto prüfen, soweit für Anhang, Steuer oder Abstimmung erforderlich.</t>
  </si>
  <si>
    <t>666000</t>
  </si>
  <si>
    <t>Prüfungs- und Beratungskosten</t>
  </si>
  <si>
    <t>65300000</t>
  </si>
  <si>
    <t>Rechts- und Beratungskosten</t>
  </si>
  <si>
    <t>GuV &gt; 7. Sonstige betriebliche Aufwendungen &gt; Prüfungs-, Beratungs- und Rechtskosten [3082032]</t>
  </si>
  <si>
    <t>Rechts- und Beratungskosten / Legal and Audit Services</t>
  </si>
  <si>
    <t>Bezeichnung (Rechts- und Beratungskosten) passt; Position Office Expense entspricht den sonstigen betrieblichen Aufwendungen sinngemäß. n:1: Abschlussprüferhonorar (§ 285 Nr. 17 HGB) ist auf dem Sammelkonto nicht getrennt.</t>
  </si>
  <si>
    <t>666010</t>
  </si>
  <si>
    <t>Honorare für Gutachten</t>
  </si>
  <si>
    <t>Bisher ohne Zuordnung. Gutachterhonorare als Beratungskosten; neu Legal and Audit Services in Office Expense.</t>
  </si>
  <si>
    <t>666100</t>
  </si>
  <si>
    <t>Rechtskosten</t>
  </si>
  <si>
    <t>669000</t>
  </si>
  <si>
    <t>Sitzungsgelder für Aufsichtsrat</t>
  </si>
  <si>
    <t>GuV &gt; 7. Sonstige betriebliche Aufwendungen &gt; Aufsichtsrat [3082033]</t>
  </si>
  <si>
    <t>Bisher ohne Zuordnung. Aufsichtsratsvergütungen sind steuerlich nur hälftig abzugsfähig (§ 10 Nr. 4 KStG) und als Organbezüge anzugeben; ein Konto dafür führt [Y] nicht. Neuanlage prüfen (Zuordnung Other Operating Expense). Rückfall: 66000000.</t>
  </si>
  <si>
    <t>669401</t>
  </si>
  <si>
    <t>Aufsichtsratkosten</t>
  </si>
  <si>
    <t>Bisher Rechts- und Beratungskosten: anderer Sachverhalt. Aufsichtsratsvergütungen sind steuerlich nur hälftig abzugsfähig (§ 10 Nr. 4 KStG) und als Organbezüge anzugeben; ein Konto dafür führt [Y] nicht. Neuanlage prüfen (Zuordnung Other Operating Expense). Rückfall: 66000000.</t>
  </si>
  <si>
    <t>669402</t>
  </si>
  <si>
    <t>Kosten Teilgrämien Ausichtsrat</t>
  </si>
  <si>
    <t>673000</t>
  </si>
  <si>
    <t>Kosten für Personaleinstellungen</t>
  </si>
  <si>
    <t>Sonstige Personalkosten</t>
  </si>
  <si>
    <t>61401000</t>
  </si>
  <si>
    <t>HR Recruitement</t>
  </si>
  <si>
    <t>Bisher Sonstige Personalkosten; für Personalbeschaffung führt [Y] ein eigenes Konto. Neu HR Recruitement in Employee Expense Other.</t>
  </si>
  <si>
    <t>673100</t>
  </si>
  <si>
    <t>Essengeldzuschüsse</t>
  </si>
  <si>
    <t>Bisher Bilanzkonto Lohn- und Gehaltsvorschüsse für ein Aufwandskonto. Neu Payroll - Other Personnel Expenses. n:1 auf 61010000 Sonstige Personalkosten – Trennung nach Art der Leistung geht verloren (lohnsteuerliche Behandlung beachten).</t>
  </si>
  <si>
    <t>673500</t>
  </si>
  <si>
    <t>Mobilitätszuschuss AG</t>
  </si>
  <si>
    <t>Bisher ohne Zuordnung. Neu Payroll - Other Personnel Expenses. n:1 auf 61010000 Sonstige Personalkosten – Trennung nach Art der Leistung geht verloren (lohnsteuerliche Behandlung beachten).</t>
  </si>
  <si>
    <t>673502</t>
  </si>
  <si>
    <t>Fahrtkostenzuschüsse für Gehaltsempfänger</t>
  </si>
  <si>
    <t>Überstundenzuschläge Gehälter</t>
  </si>
  <si>
    <t>Bisher Überstundenzuschläge Gehälter: Texttreffer, falsch. Neu Payroll - Other Personnel Expenses. n:1 auf 61010000 Sonstige Personalkosten – Trennung nach Art der Leistung geht verloren (lohnsteuerliche Behandlung beachten).</t>
  </si>
  <si>
    <t>673503</t>
  </si>
  <si>
    <t>Fahrtkostenzuschüsse für Aushilfen</t>
  </si>
  <si>
    <t>61021100</t>
  </si>
  <si>
    <t>Überstundenzuschläge Löhne</t>
  </si>
  <si>
    <t>Bisher Überstundenzuschläge Löhne: Texttreffer, falsch. Neu Payroll - Other Personnel Expenses. n:1 auf 61010000 Sonstige Personalkosten – Trennung nach Art der Leistung geht verloren (lohnsteuerliche Behandlung beachten).</t>
  </si>
  <si>
    <t>080117</t>
  </si>
  <si>
    <t>Passiva &gt; A. Eigenkapital &gt; VI. Nicht durch Eigenkapital gedeckter Fehlbetrag (Gegenposten) [2016000]</t>
  </si>
  <si>
    <t>Bisher ohne Zuordnung. Reines Ausweiskonto (Gegenkonto zu 080116 für den nicht durch Eigenkapital gedeckten Fehlbetrag); kein YCOA-Konto und keine Position im SAP-Standard. Neuanlage prüfen oder Ausweis nur in der Bilanzstruktur lösen.</t>
  </si>
  <si>
    <t>092001</t>
  </si>
  <si>
    <t>Passive Rechnungsabgrenzung</t>
  </si>
  <si>
    <t>Passiva &gt; F. Rechnungsabgrenzungsposten [2050000]</t>
  </si>
  <si>
    <t>12562000</t>
  </si>
  <si>
    <t>Deferred Income</t>
  </si>
  <si>
    <t>Bisher Aktive Rechnungsabgrenzung: falsche Bilanzseite. Neu Deferred Income (passive Rechnungsabgrenzung) in Other Payable.</t>
  </si>
  <si>
    <t>673600</t>
  </si>
  <si>
    <t>Bezeichnung identisch (Sonstige Personalkosten); Position Payroll Other entspricht den Personalnebenkosten sinngemäß.</t>
  </si>
  <si>
    <t>673610</t>
  </si>
  <si>
    <t>Aufwendungen AMZ (arbeitsmed. Zentrum-Berufsgen.)</t>
  </si>
  <si>
    <t>Bisher Sonstige Aufwendungen mit Gehaltscharakter: kein Entgelt. Arbeitsmedizinischer Dienst als Personalnebenkosten; neu Payroll - Other Personnel Expenses. n:1 auf 61010000 Sonstige Personalkosten – Trennung nach Art der Leistung geht verloren (lohnsteuerliche Behandlung beachten).</t>
  </si>
  <si>
    <t>673620</t>
  </si>
  <si>
    <t>Telefongeb. für Mitarbeiter</t>
  </si>
  <si>
    <t>Bisher ohne Zuordnung. Vom Kunden als Personalnebenkosten ausgewiesen; neu Payroll - Other Personnel Expenses. Alternative nach Kostenart: 63006000 Telephone and other Communication (Office Expense). n:1 auf 61010000 Sonstige Personalkosten – Trennung nach Art der Leistung geht verloren (lohnsteuerliche Behandlung beachten).</t>
  </si>
  <si>
    <t>673650</t>
  </si>
  <si>
    <t>Aus- und Weiterbildungskosten (Mitarbeiter)</t>
  </si>
  <si>
    <t>61400000</t>
  </si>
  <si>
    <t>Training and Education</t>
  </si>
  <si>
    <t>Bisher ohne Zuordnung. Neu Training and Education (Aus- und Weiterbildung) in Employee Expense Other.</t>
  </si>
  <si>
    <t>673660</t>
  </si>
  <si>
    <t>Aus- und Weiterbildungskosten (Zuschüsse)</t>
  </si>
  <si>
    <t>092000</t>
  </si>
  <si>
    <t>nicht in [Z] enthalten – nicht bilanziell validiert</t>
  </si>
  <si>
    <t>nicht prüfbar</t>
  </si>
  <si>
    <t>Nicht bilanziell validiert (Konto nicht in [Z]); Prüfung nur nach Bezeichnung. Bisher Aktive Rechnungsabgrenzung: falsche Bilanzseite. Neu Deferred Income (passive Rechnungsabgrenzung). Zuordnung analog zu den gleichartigen, in [Z] validierten Konten.</t>
  </si>
  <si>
    <t>889003</t>
  </si>
  <si>
    <t>Mobilität MWSt</t>
  </si>
  <si>
    <t>Bisher ohne Zuordnung. Gegenkonto der Mobilitätssachbezüge mit Habensaldo, vom Kunden innerhalb der Personalnebenkosten saldiert (zu 673505/673506). Ein Konto für verrechnete Sachbezüge führt [Y] nicht; Umsatzsteuerbezug. Zu klären: Abbildung der Sachbezüge in der Personalabrechnung – dann entweder Gegenbuchung auf 61010000 oder Neuanlage eines Verrechnungskontos.</t>
  </si>
  <si>
    <t>674000</t>
  </si>
  <si>
    <t>EDV - Fremdkosten -</t>
  </si>
  <si>
    <t>65150000</t>
  </si>
  <si>
    <t>EDV-Material</t>
  </si>
  <si>
    <t>GuV &gt; 7. Sonstige betriebliche Aufwendungen &gt; EDV/IT [3082035]</t>
  </si>
  <si>
    <t>65008300</t>
  </si>
  <si>
    <t>Services - General</t>
  </si>
  <si>
    <t>Bisher EDV-Material: Fremdkosten sind Dienstleistungen, kein Material.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</si>
  <si>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674100</t>
  </si>
  <si>
    <t>EDV - MIETE HARDWARE</t>
  </si>
  <si>
    <t>63009000</t>
  </si>
  <si>
    <t>Leasing Expense</t>
  </si>
  <si>
    <t>Bisher EDV-Material: Hardwaremiete ist kein Material. Neu Leasing Expense in Periodic Building Expense.</t>
  </si>
  <si>
    <t>674250</t>
  </si>
  <si>
    <t>EDV - Nutz.entg./Lizenzk./Leas.Software</t>
  </si>
  <si>
    <t>Bisher ohne Zuordnung. Nutzungsentgelte und Lizenzen als bezogene Dienstleistung; neu Services - General in Third Party Expense. Ein Konto für Softwaremiete/Lizenzen führt [Y] nicht – eigenes Konto prüfen (rund 3 Mio. EUR).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</si>
  <si>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674300</t>
  </si>
  <si>
    <t>EDV - Wartung</t>
  </si>
  <si>
    <t>Bisher EDV-Material: Wartung ist eine Dienstleistung.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</si>
  <si>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674401</t>
  </si>
  <si>
    <t>SITA Kosten</t>
  </si>
  <si>
    <t>92105300</t>
  </si>
  <si>
    <t>Sonstige Kosten</t>
  </si>
  <si>
    <t>Bisher Sonstige Kosten (92105300): sekundäres Verrechnungskonto (Secondary Accounts), nicht direkt bebuchbar.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</si>
  <si>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674500</t>
  </si>
  <si>
    <t>User Helpdesk SAIT</t>
  </si>
  <si>
    <t>Bisher ohne Zuordnung. IT-Dienstleistung der SITA Airport IT;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</si>
  <si>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674501</t>
  </si>
  <si>
    <t>Desktop &amp; Infrastrukturservice</t>
  </si>
  <si>
    <t>674502</t>
  </si>
  <si>
    <t>Rechenzentrum SAIT</t>
  </si>
  <si>
    <t>674503</t>
  </si>
  <si>
    <t>Anwendungsentwicklung SAIT</t>
  </si>
  <si>
    <t>674504</t>
  </si>
  <si>
    <t>Netzwerk SAIT</t>
  </si>
  <si>
    <t>674505</t>
  </si>
  <si>
    <t>Telekommunikation</t>
  </si>
  <si>
    <t>63006000</t>
  </si>
  <si>
    <t>Telephone and other Communication</t>
  </si>
  <si>
    <t>Bisher ohne Zuordnung. Neu Telephone and other Communication in Office Expense.</t>
  </si>
  <si>
    <t>674506</t>
  </si>
  <si>
    <t>Funksysteme SITA</t>
  </si>
  <si>
    <t>Bisher ohne Zuordnung. Funksysteme als Kommunikationskosten; neu Telephone and other Communication in Office Expense. Alternative: 65008300.</t>
  </si>
  <si>
    <t>674507</t>
  </si>
  <si>
    <t>Projekt / Optionale Dienstleistungen</t>
  </si>
  <si>
    <t>Bezeichnung (Bezogene Dienstleistungen) und SAP-Position passen; das Kundenkonto gehört aber zu den sonstigen betrieblichen Aufwendungen.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</si>
  <si>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691310</t>
  </si>
  <si>
    <t>Leasingaufwendungen EDV-Equipment</t>
  </si>
  <si>
    <t>Bisher Leasingaufwendungen für Gebäude (ROU): falscher Gegenstand, Konto der Leasingbilanzierung, in FPA1 nicht zugeordnet. Neu Leasing Expense in Periodic Building Expense.</t>
  </si>
  <si>
    <t>679100</t>
  </si>
  <si>
    <t>Selbstbeteiligung bei Versicherungsschäden</t>
  </si>
  <si>
    <t>GuV &gt; 7. Sonstige betriebliche Aufwendungen &gt; Versicherungen [3082036]</t>
  </si>
  <si>
    <t>65900000</t>
  </si>
  <si>
    <t>Loss in the Event of Damage</t>
  </si>
  <si>
    <t>Bisher ohne Zuordnung. Selbstbehalt ist Schadenaufwand, keine Prämie; neu Loss in the Event of Damage in Other Operating Expense. Alternative gemäß Kundengliederung: 63004000 Insurance.</t>
  </si>
  <si>
    <t>680000</t>
  </si>
  <si>
    <t>Haftpflichtversicherung</t>
  </si>
  <si>
    <t>Versicherungen / Insurance</t>
  </si>
  <si>
    <t>Bisher ohne Zuordnung. Neu Insurance (Versicherungen) in Periodic Building Expense. n:1: Versicherungssparten sind auf 63004000 nicht mehr getrennt.</t>
  </si>
  <si>
    <t>681000</t>
  </si>
  <si>
    <t>Kraftfahrzeug-Versicherung</t>
  </si>
  <si>
    <t>65003000</t>
  </si>
  <si>
    <t>Kraftfahrzeugkosten</t>
  </si>
  <si>
    <t>Bisher Kraftfahrzeugkosten; der Kunde führt die Kfz-Versicherung unter Versicherungen. Neu Insurance in Periodic Building Expense. n:1: Versicherungssparten sind auf 63004000 nicht mehr getrennt.</t>
  </si>
  <si>
    <t>682000</t>
  </si>
  <si>
    <t>Sachversicherungen</t>
  </si>
  <si>
    <t>Bezeichnung (Versicherungen) und Position Periodic Building Expense passen. n:1: Versicherungssparten sind auf 63004000 nicht mehr getrennt.</t>
  </si>
  <si>
    <t>682100</t>
  </si>
  <si>
    <t>BU-All Risk Versicherung</t>
  </si>
  <si>
    <t>684000</t>
  </si>
  <si>
    <t>Div. Versicherungen</t>
  </si>
  <si>
    <t>685000</t>
  </si>
  <si>
    <t>sonstige Gebäude-Versicherungen</t>
  </si>
  <si>
    <t>Gebäude</t>
  </si>
  <si>
    <t>Bisher Bilanzkonto Gebäude für ein Aufwandskonto (Texttreffer Gebäude). Neu Insurance in Periodic Building Expense. n:1: Versicherungssparten sind auf 63004000 nicht mehr getrennt.</t>
  </si>
  <si>
    <t>679700</t>
  </si>
  <si>
    <t>Sonstige betriebliche Aufw. Konzern</t>
  </si>
  <si>
    <t>75009900</t>
  </si>
  <si>
    <t>Sonstige betriebliche Steuern</t>
  </si>
  <si>
    <t>GuV &gt; 7. Sonstige betriebliche Aufwendungen &gt; Konzern [3082037]</t>
  </si>
  <si>
    <t>Net Income &gt; Taxes</t>
  </si>
  <si>
    <t>Bisher Sonstige betriebliche Steuern: Texttreffer, falsch. Neu Other Operating Expenses. n:1: 66000000 wird zum Sammelkonto der sonstigen betrieblichen Aufwendungen; die Trennung nach Sachverhalt geht verloren – eigenes Konto prüfen, soweit für Anhang, Steuer oder Abstimmung erforderlich.</t>
  </si>
  <si>
    <t>470100</t>
  </si>
  <si>
    <t>Sonstige Fremdleistungen</t>
  </si>
  <si>
    <t>GuV &gt; 7. Sonstige betriebliche Aufwendungen &gt; Fremdleistungen, Beiträge, Reisekosten, Mieten, Leasing, Übrige [3082039]</t>
  </si>
  <si>
    <t>Bisher ohne Zuordnung. Sonstige Fremdleistungen;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</si>
  <si>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600401</t>
  </si>
  <si>
    <t>Fassaden - und Dachreinigung</t>
  </si>
  <si>
    <t>Gebäude - periodischer Service / Building Periodic Service</t>
  </si>
  <si>
    <t>Bisher ohne Zuordnung. Fassaden- und Dachreinigung als Gebäudeservice; neu Building Periodic Service in Office Expense. Die Reinigungskonten 600400/600500 weist der Kunde dagegen unter bezogene Leistungen aus (dort 65001000).</t>
  </si>
  <si>
    <t>663000</t>
  </si>
  <si>
    <t>Beiträge</t>
  </si>
  <si>
    <t>Beiträge zu Wirtschaftsverb. u. Berufsvertretungen / Dues to Associations</t>
  </si>
  <si>
    <t>Bisher Zinserträge: falsch. Neu Dues to Associations (Beiträge zu Verbänden) in Employee Expense Other.</t>
  </si>
  <si>
    <t>665000</t>
  </si>
  <si>
    <t>Reisekosten</t>
  </si>
  <si>
    <t>66888800</t>
  </si>
  <si>
    <t>ICO-Reisekosten</t>
  </si>
  <si>
    <t>61008000</t>
  </si>
  <si>
    <t>Travel Expenses - Miscellaneous</t>
  </si>
  <si>
    <t>Bisher ICO-Reisekosten (Intercompany-Verrechnungskonto, in FPA1 nicht zugeordnet): kein Konzernbezug. Neu Travel Expenses - Miscellaneous in Travel Expense.</t>
  </si>
  <si>
    <t>665001</t>
  </si>
  <si>
    <t>Reisekosten Übernachtungsaufwand</t>
  </si>
  <si>
    <t>Reisekosten - Bewirtung</t>
  </si>
  <si>
    <t>61003000</t>
  </si>
  <si>
    <t>Travel Expenses - Hotel and Accommodation</t>
  </si>
  <si>
    <t>Bisher Reisekosten - Bewirtung: anderer Sachverhalt. Neu Travel Expenses - Hotel and Accommodation in Travel Expense.</t>
  </si>
  <si>
    <t>665002</t>
  </si>
  <si>
    <t>Reisekosten Fahrtkosten</t>
  </si>
  <si>
    <t>61005000</t>
  </si>
  <si>
    <t>Reisekosten - Fahrtkosten</t>
  </si>
  <si>
    <t>Reisekosten - Fahrtkosten / Travel Expenses - Ground Transportation</t>
  </si>
  <si>
    <t>Bezeichnung identisch (Reisekosten - Fahrtkosten), Position Travel Expense passt.</t>
  </si>
  <si>
    <t>665003</t>
  </si>
  <si>
    <t>Reisekosten Verpflegungsmehraufwand</t>
  </si>
  <si>
    <t>61004000</t>
  </si>
  <si>
    <t>Reisekosten - Verpflegung</t>
  </si>
  <si>
    <t>Reisekosten - Verpflegung / Travel Expenses - Meals</t>
  </si>
  <si>
    <t>Bezeichnung (Reisekosten - Verpflegung) und Position Travel Expense passen.</t>
  </si>
  <si>
    <t>665004</t>
  </si>
  <si>
    <t>Reisekosten KM-Geld Erst. AN</t>
  </si>
  <si>
    <t>61007000</t>
  </si>
  <si>
    <t>Travel Expenses - Airfare, Rail, Mileage</t>
  </si>
  <si>
    <t>Bisher ICO-Reisekosten (Intercompany-Verrechnungskonto, in FPA1 nicht zugeordnet): kein Konzernbezug. Kilometergeld entspricht Travel Expenses - Airfare, Rail, Mileage in Travel Expense.</t>
  </si>
  <si>
    <t>665005</t>
  </si>
  <si>
    <t>Reisekosten Sonstiges</t>
  </si>
  <si>
    <t>667000</t>
  </si>
  <si>
    <t>Portokosten</t>
  </si>
  <si>
    <t>65000000</t>
  </si>
  <si>
    <t>Postage and Shipping</t>
  </si>
  <si>
    <t>Bisher ICO-Reisekosten: falsch. Neu Postage and Shipping (Porto) in Office Expense.</t>
  </si>
  <si>
    <t>668000</t>
  </si>
  <si>
    <t>Kosten des Geldverkehrs</t>
  </si>
  <si>
    <t>71000000</t>
  </si>
  <si>
    <t>Bank Charges</t>
  </si>
  <si>
    <t>Net Income &gt; Other Income and Expense &gt; Non-Operating Income &gt; Non-Operating Expense</t>
  </si>
  <si>
    <t>Bisher Sonstige Kosten (92105300): sekundäres Verrechnungskonto. Neu Bank Charges; der SAP-Standard weist Bankgebühren in Non-Operating Expense aus, was den sonstigen betrieblichen Aufwendungen nach HGB sinngemäß entspricht.</t>
  </si>
  <si>
    <t>668010</t>
  </si>
  <si>
    <t>Mahngeb.- u. Säumniszuschläge (nicht n.a.Steuern)</t>
  </si>
  <si>
    <t>Erträge - Kürzung von Rückstellungen</t>
  </si>
  <si>
    <t>Bisher Erträge aus der Kürzung von Rückstellungen (Ertragskonto): falsch. Neu Other Operating Expenses. 70900000 Fines and Penalties läge für nicht abzugsfähige Geldbußen nahe; das Kundenkonto führt aber ausdrücklich die abzugsfähigen Mahngebühren und Säumniszuschläge und soll damit nicht vermischt werden. n:1: 66000000 wird zum Sammelkonto der sonstigen betrieblichen Aufwendungen; die Trennung nach Sachverhalt geht verloren – eigenes Konto prüfen, soweit für Anhang, Steuer oder Abstimmung erforderlich.</t>
  </si>
  <si>
    <t>670000</t>
  </si>
  <si>
    <t>Instandhaltung Dienst- und Schutzkleidung</t>
  </si>
  <si>
    <t>Bisher ohne Zuordnung. Reinigung/Instandhaltung der Dienstkleidung als Fremdleistung; neu Services - General.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</si>
  <si>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671000</t>
  </si>
  <si>
    <t>Betriebskosten</t>
  </si>
  <si>
    <t>Bisher Sonstige Personalkosten: kein Personalbezug. Neu Other Operating Expenses. n:1: 66000000 wird zum Sammelkonto der sonstigen betrieblichen Aufwendungen; die Trennung nach Sachverhalt geht verloren – eigenes Konto prüfen, soweit für Anhang, Steuer oder Abstimmung erforderlich.</t>
  </si>
  <si>
    <t>672000</t>
  </si>
  <si>
    <t>Sanitätsmittel/Medikamente                      .</t>
  </si>
  <si>
    <t>Sonstiges Material / Other Supplies</t>
  </si>
  <si>
    <t>Bisher ohne Zuordnung. Sanitätsmaterial als sonstiges Verbrauchsmaterial; neu Other Supplies in Office Expense.</t>
  </si>
  <si>
    <t>675000</t>
  </si>
  <si>
    <t>Planungsaufwendungen (nicht aktivierungsfähig)</t>
  </si>
  <si>
    <t>61102000</t>
  </si>
  <si>
    <t>Sonstige Aufwendungen mit Lohncharakter</t>
  </si>
  <si>
    <t>Bisher Sonstige Aufwendungen mit Lohncharakter: falsch. Planungsleistungen Dritter; neu Services - General.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</si>
  <si>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676000</t>
  </si>
  <si>
    <t>Frachten und Zustellgebühren</t>
  </si>
  <si>
    <t>65400000</t>
  </si>
  <si>
    <t>Frachten und Fremdlager</t>
  </si>
  <si>
    <t>Frachten und Fremdlager / Freight</t>
  </si>
  <si>
    <t>Bezeichnung (Frachten) passt; Position Office Expense entspricht den sonstigen betrieblichen Aufwendungen sinngemäß.</t>
  </si>
  <si>
    <t>678900</t>
  </si>
  <si>
    <t>Reparaturen an Gebäuden Dritter</t>
  </si>
  <si>
    <t>Bisher ohne Zuordnung. Fremdreparaturen an Gebäuden; neu Building Periodic Service in Office Expense. n:1 mit 600401.</t>
  </si>
  <si>
    <t>679000</t>
  </si>
  <si>
    <t>Text identisch (Sonstige Kosten), 92105300 ist aber ein sekundäres Verrechnungskonto (Secondary Accounts) und nicht direkt bebuchbar. Neu Other Operating Expenses in Other Operating Expense.</t>
  </si>
  <si>
    <t>679010</t>
  </si>
  <si>
    <t>Aufwendungen Festwert Marche (AV)</t>
  </si>
  <si>
    <t>Bisher Sonstige Aufwendungen mit Gehaltscharakter: falsch. Ersatzbeschaffungen zum Festwert; neu Other Operating Expenses. n:1: 66000000 wird zum Sammelkonto der sonstigen betrieblichen Aufwendungen; die Trennung nach Sachverhalt geht verloren – eigenes Konto prüfen, soweit für Anhang, Steuer oder Abstimmung erforderlich.</t>
  </si>
  <si>
    <t>679300</t>
  </si>
  <si>
    <t>Kosten für Fremdpersonal</t>
  </si>
  <si>
    <t>Bisher Sonstige Kosten (92105300): sekundäres Verrechnungskonto. Fremdpersonal als bezogene Dienstleistung; neu Services - General. Alternative: 65008000 Purchased Services-Time.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</si>
  <si>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679332</t>
  </si>
  <si>
    <t>Shuttledienste</t>
  </si>
  <si>
    <t>Bisher ohne Zuordnung.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</si>
  <si>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679600</t>
  </si>
  <si>
    <t>KOSTEN FUER DIE VEROEFFENTLICHUNG JAHRESABSCHLUSS</t>
  </si>
  <si>
    <t>Bisher ohne Zuordnung. Offenlegungskosten als Teil der Abschlusskosten; neu Legal and Audit Services in Office Expense.</t>
  </si>
  <si>
    <t>679920</t>
  </si>
  <si>
    <t>Sonstige Kfz.-Kosten</t>
  </si>
  <si>
    <t>Kraftfahrzeugkosten / Vehicle Costs</t>
  </si>
  <si>
    <t>Bisher Sonstige Kosten (92105300): sekundäres Verrechnungskonto. Neu Vehicle Costs (Kraftfahrzeugkosten) in Other Operating Expense.</t>
  </si>
  <si>
    <t>690000</t>
  </si>
  <si>
    <t>Mietaufw. Gebäude und Flächen</t>
  </si>
  <si>
    <t>Text passt, 63009100 ist aber ein Konto der Leasingbilanzierung (Nutzungsrechte, ROU) und in FPA1 nicht zugeordnet. Neu Leasing Expense in Periodic Building Expense: 63005000 Office/Building Rent bleibt den Mieten und Pachten des Materialaufwands vorbehalten (ein YCOA-Konto je GuV-Zeile des Kunden). Zielkonto ist auf Leasing benannt – eigenes Mietkonto für die sonstigen betrieblichen Aufwendungen prüfen (rund 4 Mio. EUR).</t>
  </si>
  <si>
    <t>691000</t>
  </si>
  <si>
    <t>Entschädigungszahlungen für Gestattungen</t>
  </si>
  <si>
    <t>Bisher ohne Zuordnung. Entschädigungen für Gestattungen; neu Other Operating Expenses. n:1: 66000000 wird zum Sammelkonto der sonstigen betrieblichen Aufwendungen; die Trennung nach Sachverhalt geht verloren – eigenes Konto prüfen, soweit für Anhang, Steuer oder Abstimmung erforderlich.</t>
  </si>
  <si>
    <t>691010</t>
  </si>
  <si>
    <t>Sonstige Miet- und Pachtzahlungen bewegl. WG</t>
  </si>
  <si>
    <t>Bisher ohne Zuordnung. Miete beweglicher Wirtschaftsgüter; neu Leasing Expense in Periodic Building Expense.</t>
  </si>
  <si>
    <t>691200</t>
  </si>
  <si>
    <t>Leasing für Serienfahrzeuge (bis 2006: Busse)</t>
  </si>
  <si>
    <t>Bisher ohne Zuordnung. Fahrzeugleasing; neu Leasing Expense in Periodic Building Expense. Alternative: 65003000 Vehicle Costs.</t>
  </si>
  <si>
    <t>691390</t>
  </si>
  <si>
    <t>Leasingaufwendungen Sonst. bewegliche WG</t>
  </si>
  <si>
    <t>63009200</t>
  </si>
  <si>
    <t>Leasingaufwendungen für Grundstücke (ROU)</t>
  </si>
  <si>
    <t>Bisher Leasingaufwendungen für Grundstücke (ROU): falscher Gegenstand, in FPA1 nicht zugeordnet. Neu Leasing Expense in Periodic Building Expense.</t>
  </si>
  <si>
    <t>600300</t>
  </si>
  <si>
    <t>Fernsprech/Fernschreibgebühren</t>
  </si>
  <si>
    <t>GuV &gt; 7. Sonstige betriebliche Aufwendungen &gt; Büro und Kommunikation [3082030/00]</t>
  </si>
  <si>
    <t>600310</t>
  </si>
  <si>
    <t>Rundfunk/Fernsehgebühren</t>
  </si>
  <si>
    <t>Bisher ohne Zuordnung. Rundfunkbeitrag, vom Kunden mit den Fernsprechgebühren geführt; neu Telephone and other Communication. Zielkonto ist auf Kommunikation benannt.</t>
  </si>
  <si>
    <t>660000</t>
  </si>
  <si>
    <t>Büromaterialien und Drucksachen</t>
  </si>
  <si>
    <t>65100000</t>
  </si>
  <si>
    <t>Büromaterial</t>
  </si>
  <si>
    <t>Büromaterial / Office Supplies</t>
  </si>
  <si>
    <t>Bezeichnung (Büromaterial) und Position Office Expense passen.</t>
  </si>
  <si>
    <t>660009</t>
  </si>
  <si>
    <t>Büromaterial (Lagermaterial)</t>
  </si>
  <si>
    <t>661000</t>
  </si>
  <si>
    <t>Zeitschriften/Fachliteratur/Informationsmaterial</t>
  </si>
  <si>
    <t>Bisher ohne Zuordnung. Fachliteratur als Bürobedarf; neu Office Supplies in Office Expense. Ein eigenes Konto führt [Y] nicht.</t>
  </si>
  <si>
    <t>263010</t>
  </si>
  <si>
    <t>SAIT -Erträge aus Beteil. Kapitalgesellschaften</t>
  </si>
  <si>
    <t>GuV &gt; 8. Erträge aus Beteiligungen [4011020]</t>
  </si>
  <si>
    <t>70300100</t>
  </si>
  <si>
    <t>Gain from Long Term Investment</t>
  </si>
  <si>
    <t>Net Income &gt; Other Income and Expense &gt; Non-Operating Income &gt; Non-Operating Revenue</t>
  </si>
  <si>
    <t>Bisher Sonstige Erträge (TRM): Treasury-Konto, in FPA1 keiner Position zugeordnet. Neu Gain from Long Term Investment (Erträge aus Finanzanlagen/Beteiligungen) in Non-Operating Revenue. Beteiligungserträge sind steuerlich gesondert zu behandeln (§ 8b KStG) – Konto nur dafür verwenden.</t>
  </si>
  <si>
    <t>222141</t>
  </si>
  <si>
    <t>Erhaltene Gewinnabführung FDE GmbH</t>
  </si>
  <si>
    <t>GuV &gt; 9. Erträge aus Gewinnabführungsverträgen [4012000]</t>
  </si>
  <si>
    <t>Bisher ohne Zuordnung. Erträge aus Gewinnabführungsverträgen sind gesondert auszuweisen (§ 277 Abs. 3 HGB); ein Konto oder eine Position dafür führt [Y] nicht. Neuanlage prüfen (Zuordnung Non-Operating Revenue). Rückfall: 70300100 mit Verlust des gesonderten Ausweises.</t>
  </si>
  <si>
    <t>261000</t>
  </si>
  <si>
    <t>Erträge aus Finanzanlagen</t>
  </si>
  <si>
    <t>GuV &gt; 10. Erträge aus Ausleihungen des Finanzanlagevermögens [4013010]</t>
  </si>
  <si>
    <t>Bisher Sonstige Erträge (TRM): Treasury-Konto, in FPA1 keiner Position zugeordnet. Erträge aus Ausleihungen des Finanzanlagevermögens sind eine eigene GuV-Zeile nach HGB. Das fachlich nächste Konto 70300100 wird für die Beteiligungserträge (263010) benötigt, 70100000 für die sonstigen Zinserträge; ein drittes Konto führt [Y] nicht. Neuanlage prüfen. Rückfall: 70300100 (Non-Operating Revenue) oder 70100000 (Interest Income) mit Verlust der gesonderten Zeile.</t>
  </si>
  <si>
    <t>261200</t>
  </si>
  <si>
    <t>Erträge aus Finanzanlagen  (CARGO GmbH)</t>
  </si>
  <si>
    <t>260000</t>
  </si>
  <si>
    <t>GuV &gt; 11. Sonstige Zinsen und ähnliche Erträge (Zinserträge) [4014020]</t>
  </si>
  <si>
    <t>Zinserträge / Interest Income</t>
  </si>
  <si>
    <t>Bezeichnung identisch (Zinserträge), Position Interest Income passt.</t>
  </si>
  <si>
    <t>260001</t>
  </si>
  <si>
    <t>Zinserträge nach §233a AO USt + ErtrSt</t>
  </si>
  <si>
    <t>Bezeichnung (Zinserträge) und Position passen. n:1: Erstattungszinsen nach § 233a AO sind steuerlich gesondert zu würdigen – auf dem Sammelkonto nicht mehr getrennt, eigenes Konto prüfen.</t>
  </si>
  <si>
    <t>260003</t>
  </si>
  <si>
    <t>Zinserträge aus Anlage von Termingeldern</t>
  </si>
  <si>
    <t>Kurzfristige Investitionen</t>
  </si>
  <si>
    <t>Bisher Kurzfristige Investitionen (Bilanzkonto, nicht in [Y]) für ein Ertragskonto. Neu Interest Income.</t>
  </si>
  <si>
    <t>260100</t>
  </si>
  <si>
    <t>Zinserträge aus Darlehen an verbundene Unternehmen</t>
  </si>
  <si>
    <t>70200000</t>
  </si>
  <si>
    <t>Zinserträge, nicht Verbundene (TRM)</t>
  </si>
  <si>
    <t>70300000</t>
  </si>
  <si>
    <t>Interest Income - Subsidiaries</t>
  </si>
  <si>
    <t>Bisher Zinserträge nicht Verbundene (TRM): falsche Gegenpartei, in FPA1 nicht zugeordnet. Neu Interest Income - Subsidiaries (Zinserträge verbundene Unternehmen) in Interest Income.</t>
  </si>
  <si>
    <t>260200</t>
  </si>
  <si>
    <t>Zinserträge aus Darlehen an Beteiligungsunternehme</t>
  </si>
  <si>
    <t>Bezeichnung (Zinserträge) und Position passen; ein eigenes Konto für Zinsen von Beteiligungsunternehmen führt [Y] nicht.</t>
  </si>
  <si>
    <t>260002</t>
  </si>
  <si>
    <t>Erträge aus Verzugszinsen (DEBITOREN)</t>
  </si>
  <si>
    <t>GuV &gt; 11. Sonstige Zinsen und ähnliche Erträge (Verzugszinsen) [4014040]</t>
  </si>
  <si>
    <t>Bisher Sonstige Erträge (TRM): Treasury-Konto, in FPA1 keiner Position zugeordnet. Verzugszinsen als Zinsertrag; neu Interest Income.</t>
  </si>
  <si>
    <t>262000</t>
  </si>
  <si>
    <t>Erträge aus Auf- und Abzinsung</t>
  </si>
  <si>
    <t>GuV &gt; 11. Sonstige Zinsen und ähnliche Erträge (Auf-/Abzinsung) [4014050]</t>
  </si>
  <si>
    <t>Bisher Sonstige Erträge (TRM): Treasury-Konto, in FPA1 keiner Position zugeordnet. Neu Interest Income. Erträge aus der Abzinsung sind gesondert auszuweisen (§ 277 Abs. 5 HGB) – auf dem Sammelkonto nicht mehr getrennt, eigenes Konto prüfen.</t>
  </si>
  <si>
    <t>222130</t>
  </si>
  <si>
    <t>Aufwand aus Verlustübernahme FDI GmbH</t>
  </si>
  <si>
    <t>64030000</t>
  </si>
  <si>
    <t>Aufwand für außerplanmäßige Abschreibung</t>
  </si>
  <si>
    <t>GuV &gt; 12. Aufwendungen aus Verlustübernahme [4015000]</t>
  </si>
  <si>
    <t>Bisher Aufwand für außerplanmäßige Abschreibung: falsch. Aufwendungen aus Verlustübernahme sind gesondert auszuweisen (§ 277 Abs. 3 HGB); ein Konto oder eine Position dafür führt [Y] nicht. Neuanlage prüfen.</t>
  </si>
  <si>
    <t>241100</t>
  </si>
  <si>
    <t>Zinsen langfr. Darlehen (FDG:Schuldschein)</t>
  </si>
  <si>
    <t>GuV &gt; 13. Zinsen und ähnliche Aufwendungen (langfristige Darlehen) [4017020]</t>
  </si>
  <si>
    <t>71100000</t>
  </si>
  <si>
    <t>Zinsaufwendungen / Interest Expense</t>
  </si>
  <si>
    <t>Net Income &gt; Interest &gt; Interest Expense</t>
  </si>
  <si>
    <t>Bisher ohne Zuordnung. Neu Interest Expense (Zinsaufwendungen) in Interest Expense. n:1: 71100000 wird zum Sammelkonto des Zinsaufwands; die Trennung nach Darlehensart geht verloren – eigene Konten prüfen.</t>
  </si>
  <si>
    <t>241140</t>
  </si>
  <si>
    <t>Zinsen langfr. Darlehen Div.</t>
  </si>
  <si>
    <t>241160</t>
  </si>
  <si>
    <t>Zinsen Förderdarlehen Corona</t>
  </si>
  <si>
    <t>242301</t>
  </si>
  <si>
    <t>Zinsen für Kaution</t>
  </si>
  <si>
    <t>GuV &gt; 13. Zinsen und ähnliche Aufwendungen (Gesellschafterdarlehen, Kautionen) [4017030]</t>
  </si>
  <si>
    <t>Bisher ohne Zuordnung. Neu Interest Expense in Interest Expense. n:1: 71100000 wird zum Sammelkonto des Zinsaufwands; die Trennung nach Darlehensart geht verloren – eigene Konten prüfen.</t>
  </si>
  <si>
    <t>243000</t>
  </si>
  <si>
    <t>Zinsen für Gesellschafterdarlehen</t>
  </si>
  <si>
    <t>Bisher ohne Zuordnung. Neu Interest Expense. Zinsen auf Gesellschafterdarlehen sind steuerlich und für die Berichterstattung an die Gesellschafter gesondert relevant – eigenes Konto prüfen; 71300000 gilt für verbundene Unternehmen. n:1: 71100000 wird zum Sammelkonto des Zinsaufwands; die Trennung nach Darlehensart geht verloren – eigene Konten prüfen.</t>
  </si>
  <si>
    <t>241220</t>
  </si>
  <si>
    <t>Zinsen für Darlehen der freiw.Unterstützungskasse</t>
  </si>
  <si>
    <t>GuV &gt; 13. Zinsen und ähnliche Aufwendungen (sonstige Zinsen, Kreditprovisionen) [4017050]</t>
  </si>
  <si>
    <t>247000</t>
  </si>
  <si>
    <t>Zinsen für Kontokorrentkredite</t>
  </si>
  <si>
    <t>247200</t>
  </si>
  <si>
    <t>ZINSAUFW. F. DARLEHEN VERBUNDENE UNTERN.</t>
  </si>
  <si>
    <t>71300000</t>
  </si>
  <si>
    <t>Zinsaufwendungen verbundene Unternehmen</t>
  </si>
  <si>
    <t>Zinsaufwendungen verbundene Unternehmen / Interest Expense - Subsidiaries</t>
  </si>
  <si>
    <t>Bezeichnung identisch (Zinsaufwendungen verbundene Unternehmen), Position Interest Expense passt.</t>
  </si>
  <si>
    <t>247301</t>
  </si>
  <si>
    <t>Vorhaltekosten/ Kreditprovision</t>
  </si>
  <si>
    <t>248000</t>
  </si>
  <si>
    <t>Sonstige Zinsen</t>
  </si>
  <si>
    <t>Bisher Kalkulatorische Zinsen (CO): kalkulatorisches Konto außerhalb der Bilanzstruktur. Neu Interest Expense.</t>
  </si>
  <si>
    <t>248001</t>
  </si>
  <si>
    <t>N.a. ZINSAUFW.u. NL auf ErtrSt-Nachz.</t>
  </si>
  <si>
    <t>Zinsaufwendungen</t>
  </si>
  <si>
    <t>Bisher Zinsaufwendungen: die Position passt, der Steuerbezug des Kundenkontos (nicht abzugsfähige Zinsen und Nachzahlungszinsen auf Ertragsteuern) wird aber nicht abgebildet. Ein Konto für nicht abzugsfähige Zinsen führt [Y] nicht. Neuanlage prüfen (Kopiervorlage 71100000, Zuordnung Interest Expense). Rückfall: 71100000 mit Verlust der steuerlichen Trennung.</t>
  </si>
  <si>
    <t>248100</t>
  </si>
  <si>
    <t>Aufwand aus Auf- und Abzinsung</t>
  </si>
  <si>
    <t>Bezeichnung passt (Aufwand Abzinsung), 66010000 liegt aber in Other Operating Expense; der Kunde weist unter Zinsen und ähnliche Aufwendungen aus. Neu Interest Expense. Aufwendungen aus der Aufzinsung sind gesondert auszuweisen (§ 277 Abs. 5 HGB) – eigenes Konto prüfen.</t>
  </si>
  <si>
    <t>249100</t>
  </si>
  <si>
    <t>Avalprovisionen</t>
  </si>
  <si>
    <t>71000100</t>
  </si>
  <si>
    <t>Provision/Gebühr (TRM)</t>
  </si>
  <si>
    <t>GuV &gt; 13. Zinsen und ähnliche Aufwendungen (Avalprovisionen) [4017060]</t>
  </si>
  <si>
    <t>Bezeichnung (Provision/Gebühr) plausibel, 71000100 ist aber ein Treasury-Konto und in FPA1 keiner Position zugeordnet; der Kunde weist Kreditprovisionen unter Zinsen und ähnliche Aufwendungen aus. Neu Interest Expense. n:1: 71100000 wird zum Sammelkonto des Zinsaufwands; die Trennung nach Darlehensart geht verloren – eigene Konten prüfen.</t>
  </si>
  <si>
    <t>249200</t>
  </si>
  <si>
    <t>Schuldschein-Kreditprovision u. Bereitstellgebühr</t>
  </si>
  <si>
    <t>GuV &gt; 13. Zinsen und ähnliche Aufwendungen (Kreditprovisionen Schuldschein/RCF) [4017080]</t>
  </si>
  <si>
    <t>249300</t>
  </si>
  <si>
    <t>RCF Provision u. Beteiligungsgebühr</t>
  </si>
  <si>
    <t>241200</t>
  </si>
  <si>
    <t>Aufwand  aus Zinsswaps mit Dritten</t>
  </si>
  <si>
    <t>72040000</t>
  </si>
  <si>
    <t>Aufwand aus Währungsbewertung</t>
  </si>
  <si>
    <t>GuV &gt; 13. Zinsen und ähnliche Aufwendungen (Zinsswaps) [4017090]</t>
  </si>
  <si>
    <t>Bisher Aufwand aus Währungsbewertung: kein Währungsbezug. Zinsswap-Aufwand als Zinsaufwand; neu Interest Expense. Bei Abbildung über Treasury: 71400000 (in FPA1 nicht zugeordnet). n:1: 71100000 wird zum Sammelkonto des Zinsaufwands; die Trennung nach Darlehensart geht verloren – eigene Konten prüfen.</t>
  </si>
  <si>
    <t>241201</t>
  </si>
  <si>
    <t>Aufwand aus Zinsswaps (wirtschaftl. Einheit)</t>
  </si>
  <si>
    <t>650000</t>
  </si>
  <si>
    <t>Gewerbeertragsteuer</t>
  </si>
  <si>
    <t>75008000</t>
  </si>
  <si>
    <t>Gewerbesteuer</t>
  </si>
  <si>
    <t>GuV &gt; 14. Steuern vom Einkommen und vom Ertrag [5010000]</t>
  </si>
  <si>
    <t>Gewerbesteuer / Trade Tax</t>
  </si>
  <si>
    <t>Bezeichnung des bisherigen YCOA-Kontos entspricht dem Kundenkonto, Position Taxes passt (der SAP-Standard führt Ertragsteuern und sonstige Steuern gemeinsam in Taxes).</t>
  </si>
  <si>
    <t>650001</t>
  </si>
  <si>
    <t>Gewerbeertragsteuer Vorjahre</t>
  </si>
  <si>
    <t>Bezeichnung und Position Taxes passen. n:1 mit dem Konto des laufenden Jahres: Steuern für Vorjahre sind nicht mehr getrennt (periodenfremd) – eigenes Konto prüfen.</t>
  </si>
  <si>
    <t>653000</t>
  </si>
  <si>
    <t>KOERPERSCHAFTSTEUER</t>
  </si>
  <si>
    <t>75002000</t>
  </si>
  <si>
    <t>Aufwendungen für Körperschaftssteuer</t>
  </si>
  <si>
    <t>Aufwendungen für Körperschaftssteuer / Corporate Income Tax Expense</t>
  </si>
  <si>
    <t>653001</t>
  </si>
  <si>
    <t>KOERPERSCHAFTSTEUER Vorjahre</t>
  </si>
  <si>
    <t>652000</t>
  </si>
  <si>
    <t>Grundsteuer</t>
  </si>
  <si>
    <t>75007000</t>
  </si>
  <si>
    <t>GuV &gt; 16. Sonstige Steuern [6010000]</t>
  </si>
  <si>
    <t>Grundsteuer / Property Taxes</t>
  </si>
  <si>
    <t>655000</t>
  </si>
  <si>
    <t>Umsatzsteuer (nicht abzugsfähige Vorsteuer)</t>
  </si>
  <si>
    <t>75005000</t>
  </si>
  <si>
    <t>Input Tax non deductable (NAV)</t>
  </si>
  <si>
    <t>Bisher Vorsteuer - abzugsfähig (Bilanzkonto, nicht in [Y]): Gegenteil des Sachverhalts. Neu Input Tax non deductable (NAV) in Taxes. Das Konto wird im Standard über den Steuervorgang NAV bebucht – manuelle Bebuchbarkeit prüfen; Rückfall: 75009900.</t>
  </si>
  <si>
    <t>655002</t>
  </si>
  <si>
    <t>Umsatzsteuer BP</t>
  </si>
  <si>
    <t>Sonstige betriebliche Steuern / Other Company Taxes</t>
  </si>
  <si>
    <t>Bisher Umsatzsteuer in Erlös (nicht in [Y], Länderversion): falsch. Umsatzsteuer aus Betriebsprüfung als sonstige Steuer; neu Other Company Taxes in Taxes.</t>
  </si>
  <si>
    <t>655003</t>
  </si>
  <si>
    <t>nabzf. VST (n.a. Betriebsausgaben)</t>
  </si>
  <si>
    <t>Bisher ohne Zuordnung. Nicht abzugsfähige Vorsteuer auf nicht abzugsfähige Betriebsausgaben: der zusätzliche Steuerbezug (keine Betriebsausgabe) ist Kontomerkmal und wäre auf 75005000 Input Tax non deductable (NAV) nicht mehr von 655000 trennbar. Neuanlage prüfen (Zuordnung Taxes). Rückfall: 75005000.</t>
  </si>
  <si>
    <t>656000</t>
  </si>
  <si>
    <t>Kraftfahrzeugsteuer</t>
  </si>
  <si>
    <t>Bisher Kraftfahrzeugkosten (Other Operating Expense); der Kunde weist die Kfz-Steuer unter sonstige Steuern aus. Neu Other Company Taxes in Taxes. Das namensgleiche 75004010 aus [X] ist in [Y] nicht vorhanden.</t>
  </si>
  <si>
    <t>780500</t>
  </si>
  <si>
    <t>KALK. ABSCHREIBUNG AUF GRUNDSTUECKE (&gt;0)</t>
  </si>
  <si>
    <t>64000100</t>
  </si>
  <si>
    <t>Abschreibungen - Grundstücke (ROU)</t>
  </si>
  <si>
    <t>64050000</t>
  </si>
  <si>
    <t>Estimated Depreciation (CO)</t>
  </si>
  <si>
    <t>Bisher bilanzielle Abschreibung Grundstücke (ROU).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</si>
  <si>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780501</t>
  </si>
  <si>
    <t>KALK. ABSCHREIBUNG AUF GRUNDSTUECKE (&lt;0)</t>
  </si>
  <si>
    <t>780511</t>
  </si>
  <si>
    <t>KALK. ABSCHREIBUNG AUF HOCHBAUTEN (&lt;0)</t>
  </si>
  <si>
    <t>Bisher außerplanmäßige Abschreibung (bilanziell).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</si>
  <si>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780520</t>
  </si>
  <si>
    <t>KALK. ABSCHREIBUNG AUF TIEFBAUTEN (&gt;0)</t>
  </si>
  <si>
    <t>Abschreibung auf immaterielle Vermögensgegenstände</t>
  </si>
  <si>
    <t>Bisher bilanzielle Abschreibung immaterielle Vermögensgegenstände.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</si>
  <si>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780521</t>
  </si>
  <si>
    <t>KALK. ABSCHREIBUNG AUF TIEFBAUTEN (&lt;0)</t>
  </si>
  <si>
    <t>780530</t>
  </si>
  <si>
    <t>KALK. ABSCHREIBUNG AUF BETRIEBSANLAGEN (&gt;0)</t>
  </si>
  <si>
    <t>780531</t>
  </si>
  <si>
    <t>KALK. ABSCHREIBUNG AUF BETRIEBSANLAGEN (&lt;0)</t>
  </si>
  <si>
    <t>780540</t>
  </si>
  <si>
    <t>KALK. ABSCHREIBUNG AUF B &amp; G-AUSSTATTUNG (&gt;0)</t>
  </si>
  <si>
    <t>64005000</t>
  </si>
  <si>
    <t>Abschreibungsaufwand-Büroausstattung</t>
  </si>
  <si>
    <t>Bisher bilanzielle Abschreibung Büroausstattung.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</si>
  <si>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780541</t>
  </si>
  <si>
    <t>KALK. ABSCHREIBUNG AUF B &amp; G-AUSSTATTUNG (&lt;0)</t>
  </si>
  <si>
    <t>780550</t>
  </si>
  <si>
    <t>KALK. ABSCHREIBUNG AUF SOFTWARE (&gt;0)</t>
  </si>
  <si>
    <t>64008000</t>
  </si>
  <si>
    <t>Abschreibungsaufwand - Software</t>
  </si>
  <si>
    <t>Bisher bilanzielle Abschreibung Software.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</si>
  <si>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780551</t>
  </si>
  <si>
    <t>KALK. ABSCHREIBUNG AUF SOFTWARE (&lt;0)</t>
  </si>
  <si>
    <t>097700</t>
  </si>
  <si>
    <t>RST ausst. Rechnungen "Schätzkosten"</t>
  </si>
  <si>
    <t>Bisher Reserves for Unrealized Costs: technisches Konto der Ergebnisermittlung, keine Abgrenzung ausstehender Rechnungen. Neu Accrued Expenses - Goods &amp; Services in Provisions. n:1 mit 097620.</t>
  </si>
  <si>
    <t>780610</t>
  </si>
  <si>
    <t>kalk. Abschreibungen auf immat. Wirtschaftsgüter</t>
  </si>
  <si>
    <t>Bisher bilanzielle Abschreibung geringwertige Wirtschaftsgüter.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</si>
  <si>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780611</t>
  </si>
  <si>
    <t>Verrechnung kalk. Abschreibung &lt;0</t>
  </si>
  <si>
    <t>71010700</t>
  </si>
  <si>
    <t>Estimated depreciation (FI-AA)</t>
  </si>
  <si>
    <t>Bisher außerplanmäßige Abschreibung (bilanziell): falsch. Rolle des Kontos unklar (Verrechnung mit Sollsaldo neben dem Hauptgegenkonto 780900). Vorläufig Estimated depreciation (FI-AA) als Gegenkonto der kalkulatorischen Abschreibung; fachlich klären. Kalkulatorische Konten stehen beim Kunden außerhalb der GuV (Saldo null) und im SAP-Standard außerhalb der Bilanzstruktur (Not assigned) – sinngemäß gleiche Position. Das Kalkulatorik-Konzept (Bewertungsbereich der Anlagenbuchhaltung, Ledger) ist gesondert festzulegen.</t>
  </si>
  <si>
    <t>780612</t>
  </si>
  <si>
    <t>Aufwertung Wertberichtigung Normal-AfA</t>
  </si>
  <si>
    <t>71015000</t>
  </si>
  <si>
    <t>Gegenkonto Aufwertung Normalabschreibungen</t>
  </si>
  <si>
    <t>Gegenkonto Aufwertung Normalabschreibungen / Offsetting Account Revaluation ord. Depreciation</t>
  </si>
  <si>
    <t>Bezeichnung passt (Gegenkonto Aufwertung Normalabschreibungen). Kalkulatorische Konten stehen beim Kunden außerhalb der GuV (Saldo null) und im SAP-Standard außerhalb der Bilanzstruktur (Not assigned) – sinngemäß gleiche Position. Das Kalkulatorik-Konzept (Bewertungsbereich der Anlagenbuchhaltung, Ledger) ist gesondert festzulegen.</t>
  </si>
  <si>
    <t>097600</t>
  </si>
  <si>
    <t>Nicht bilanziell validiert (Konto nicht in [Z]); Prüfung nur nach Bezeichnung. Bisher Reserves for Unrealized Costs: technisches Konto der Ergebnisermittlung. Ausstehende Rechnungen entsprechen Accrued Expenses - Goods &amp; Services. Zuordnung analog zu den gleichartigen, in [Z] validierten Konten.</t>
  </si>
  <si>
    <t>097741</t>
  </si>
  <si>
    <t>Rückstellung - Veröffentl. Jahresabschluss</t>
  </si>
  <si>
    <t>21501100</t>
  </si>
  <si>
    <t>Bonusrückstellung Vorjahr</t>
  </si>
  <si>
    <t>Bisher Bonusrückstellung Vorjahr (nicht in [Y]): anderer Sachverhalt. Neu Other Provisions. n:1: 24090000 wird zum Sammelkonto für die sonstigen Rückstellungen; die Trennung nach Rückstellungsart geht verloren (Rückstellungsspiegel) – eigene Konten je wesentlicher Rückstellungsart prüfen.</t>
  </si>
  <si>
    <t>781501</t>
  </si>
  <si>
    <t>KALK. ZINSEN GRUNDSTUECKE</t>
  </si>
  <si>
    <t>097441</t>
  </si>
  <si>
    <t>Nicht bilanziell validiert (Konto nicht in [Z]); Prüfung nur nach Bezeichnung. Bisher Bonusrückstellung Vorjahr (nicht in [Y]): anderer Sachverhalt. Neu Other Provisions (Sammelkonto, n:1). Zuordnung analog zu den gleichartigen, in [Z] validierten Konten.</t>
  </si>
  <si>
    <t>781521</t>
  </si>
  <si>
    <t>KALK. ZINSEN TIEFBAUTEN</t>
  </si>
  <si>
    <t>781531</t>
  </si>
  <si>
    <t>KALK. ZINSEN BETRIEBSANLAGEN</t>
  </si>
  <si>
    <t>097764</t>
  </si>
  <si>
    <t>Rückstellungen für ausstehende Risiken</t>
  </si>
  <si>
    <t>781541</t>
  </si>
  <si>
    <t>KALK. ZINSEN BETRIEBS- &amp; GESCHAEFTSAUSSTATTUNG</t>
  </si>
  <si>
    <t>71100500</t>
  </si>
  <si>
    <t>Zinsaufwendungen für Geschäftsausstattung (ROU)</t>
  </si>
  <si>
    <t>Bisher Zinsaufwendungen Geschäftsausstattung (ROU): bilanzieller Zinsaufwand der Leasingbilanzierung. Neu Accrued interest (CO). Kalkulatorische Konten stehen beim Kunden außerhalb der GuV (Saldo null) und im SAP-Standard außerhalb der Bilanzstruktur (Not assigned) – sinngemäß gleiche Position. Das Kalkulatorik-Konzept (Bewertungsbereich der Anlagenbuchhaltung, Ledger) ist gesondert festzulegen.</t>
  </si>
  <si>
    <t>097420</t>
  </si>
  <si>
    <t>Nicht bilanziell validiert (Konto nicht in [Z]); Prüfung nur nach Bezeichnung. Bisher Reserves for Unrealized Costs: technisches Konto der Ergebnisermittlung. Neu Other Provisions (Sammelkonto, n:1). Zuordnung analog zu den gleichartigen, in [Z] validierten Konten.</t>
  </si>
  <si>
    <t>781551</t>
  </si>
  <si>
    <t>KALK. ZINSEN SOFTWARE</t>
  </si>
  <si>
    <t>Bisher Abschreibungsaufwand Software: Zinsen sind keine Abschreibung. Neu Accrued interest (CO). Kalkulatorische Konten stehen beim Kunden außerhalb der GuV (Saldo null) und im SAP-Standard außerhalb der Bilanzstruktur (Not assigned) – sinngemäß gleiche Position. Das Kalkulatorik-Konzept (Bewertungsbereich der Anlagenbuchhaltung, Ledger) ist gesondert festzulegen.</t>
  </si>
  <si>
    <t>889001</t>
  </si>
  <si>
    <t>Sonstige Mobilitätssachbezüge</t>
  </si>
  <si>
    <t>Bisher ohne Zuordnung. Verrechnete Sachbezüge (Mobilität) als sonstiger betrieblicher Ertrag; neu Other Operating Revenue. Umsatzsteuerbezug der Sachbezüge beachten – eigenes Konto prüfen. n:1: 41090000 wird zum Sammelkonto der sonstigen betrieblichen Erträge; die Trennung nach Ertragsart geht verloren – eigene Konten prüfen, soweit für Anhang oder Steuer erforderlich.</t>
  </si>
  <si>
    <t>889002</t>
  </si>
  <si>
    <t>781900</t>
  </si>
  <si>
    <t>Verrechnung kalk. Zinsen</t>
  </si>
  <si>
    <t>Bisher Kalkulatorische Zinsen (CO): das ist das Kostenkonto, 781900 ist dessen Gegenkonto (Habensaldo). Ein Gegenkonto für kalkulatorische Zinsen führt [Y] nicht (für Abschreibungen: 71010700). Neuanlage prüfen. Kalkulatorische Konten stehen beim Kunden außerhalb der GuV (Saldo null) und im SAP-Standard außerhalb der Bilanzstruktur (Not assigned) – sinngemäß gleiche Position. Das Kalkulatorik-Konzept (Bewertungsbereich der Anlagenbuchhaltung, Ledger) ist gesondert festzulegen.</t>
  </si>
  <si>
    <t>152019</t>
  </si>
  <si>
    <t>Lohn-u. Gehaltsüberzahlung FDGHG</t>
  </si>
  <si>
    <t>Nicht bilanziell validiert (Konto nicht in [Z]); Prüfung nur nach Bezeichnung. Bisher Lohn- und Gehaltsvorschüsse; für Überzahlungen führt [Y] ein eigenes Konto: Receivables from Employees Overpay. Zuordnung analog zu den gleichartigen, in [Z] validierten Konten.</t>
  </si>
  <si>
    <t>152029</t>
  </si>
  <si>
    <t>Kurzfr. Ford. aus Lohn/Gehaltsvorschüssen FDGHG</t>
  </si>
  <si>
    <t>Nicht bilanziell validiert (Konto nicht in [Z]); Prüfung nur nach Bezeichnung. Bisher 12110000, in [X] als Forderungen Inland bezeichnet, laut [Y] aber Other Down Payments Made Current Assets. Neu Salary and Wages Advances (Lohn- und Gehaltsvorschüsse). Zuordnung analog zu den gleichartigen, in [Z] validierten Konten.</t>
  </si>
  <si>
    <t>152039</t>
  </si>
  <si>
    <t>Kurzfr. Ford. aus Lohn/Gehaltsabschlägen FDGHG</t>
  </si>
  <si>
    <t>Nicht bilanziell validiert (Konto nicht in [Z]); Prüfung nur nach Bezeichnung. Bisher 12110000, in [X] als Forderungen Inland bezeichnet, laut [Y] aber Other Down Payments Made Current Assets. Abschlagszahlungen als Vorauszahlung auf Lohn/Gehalt; neu Salary and Wages Advances. Zuordnung analog zu den gleichartigen, in [Z] validierten Konten.</t>
  </si>
  <si>
    <t>157010</t>
  </si>
  <si>
    <t>Sonstige Forderungen</t>
  </si>
  <si>
    <t>Nicht bilanziell validiert (Konto nicht in [Z]); Prüfung nur nach Bezeichnung. Bisher 12110000, in [X] als Forderungen Inland bezeichnet, laut [Y] aber Other Down Payments Made Current Assets. Neu Other Receivables (no recon acct). Zuordnung analog zu den gleichartigen, in [Z] validierten Konten.</t>
  </si>
  <si>
    <t>110100</t>
  </si>
  <si>
    <t>Commerzbank</t>
  </si>
  <si>
    <t>Hauptbankkonto (Bar/B)</t>
  </si>
  <si>
    <t>Nicht bilanziell validiert (Konto nicht in [Z]); Prüfung nur nach Bezeichnung. Bezeichnung (Hauptbankkonto) passt; Bankabstimmkonto, einzelne Bankkonten über Hausbank/Konto-ID. Zuordnung analog zu den gleichartigen, in [Z] validierten Konten.</t>
  </si>
  <si>
    <t>095200</t>
  </si>
  <si>
    <t>RUECKSTELLUNG FUER KOERPERSCHAFTSTEUER</t>
  </si>
  <si>
    <t>Rückstellungen Körperschaftssteuer / Corporate Income Tax Provision</t>
  </si>
  <si>
    <t>Nicht bilanziell validiert (Konto nicht in [Z]); Prüfung nur nach Bezeichnung. Bezeichnung identisch (Rückstellungen Körperschaftsteuer).</t>
  </si>
  <si>
    <t>097201</t>
  </si>
  <si>
    <t>Rückstellungen für Zeitguthaben_Gleitzeit</t>
  </si>
  <si>
    <t>Nicht bilanziell validiert (Konto nicht in [Z]); Prüfung nur nach Bezeichnung. Bezeichnung (Sonstige Rückstellungen) passt; Sammelkonto, n:1. Zuordnung analog zu den gleichartigen, in [Z] validierten Konten.</t>
  </si>
  <si>
    <t>172009</t>
  </si>
  <si>
    <t>Sonstige Verbindlichkeiten Mitarbeiter/Reisekosten</t>
  </si>
  <si>
    <t>21105000</t>
  </si>
  <si>
    <t>Travel Expenses Payable</t>
  </si>
  <si>
    <t>Nicht bilanziell validiert (Konto nicht in [Z]); Prüfung nur nach Bezeichnung. Bisher Payables Domestic (L&amp;L-Abstimmkonto): Verbindlichkeiten gegenüber Mitarbeitern aus Reisekosten sind keine Lieferantenverbindlichkeiten. Neu Travel Expenses Payable. n:1 beider Kundenkonten.</t>
  </si>
  <si>
    <t>097472</t>
  </si>
  <si>
    <t>Rückstellungen für drohende Verluste</t>
  </si>
  <si>
    <t>59801000</t>
  </si>
  <si>
    <t>Korr. von Rückstellungen für erwartete Verluste</t>
  </si>
  <si>
    <t>24097000</t>
  </si>
  <si>
    <t>Rückst.f.drohende Verluste a. schweb. Geschäften / Prov for expected Losses fr executory Contracts</t>
  </si>
  <si>
    <t>Nicht bilanziell validiert (Konto nicht in [Z]); Prüfung nur nach Bezeichnung. Bisher GuV-Konto Korrektur von Rückstellungen für erwartete Verluste für ein Bilanzkonto. Neu Prov for expected Losses fr executory Contracts (Rückstellungen für drohende Verluste aus schwebenden Geschäften).</t>
  </si>
  <si>
    <t>171109</t>
  </si>
  <si>
    <t>159309</t>
  </si>
  <si>
    <t>Forderungen gegen FDG</t>
  </si>
  <si>
    <t>Nicht bilanziell validiert (Konto nicht in [Z]); Prüfung nur nach Bezeichnung. Bisher 12110000, in [X] als Forderungen Inland bezeichnet, laut [Y] aber Other Down Payments Made Current Assets. Forderung gegen die Muttergesellschaft FDG; neu Receivables affiliated Companies. Zuordnung analog zu den gleichartigen, in [Z] validierten Konten.</t>
  </si>
  <si>
    <t>182109</t>
  </si>
  <si>
    <t>Verbindlichkeiten gegenüber FDG</t>
  </si>
  <si>
    <t>Nicht bilanziell validiert (Konto nicht in [Z]); Prüfung nur nach Bezeichnung. Bisher Verbindlichkeiten gegenüber Berufsgenossenschaft (reiner Texttreffer). Verbindlichkeit gegenüber der Muttergesellschaft FDG; neu Payables affiliated Companies. Zuordnung analog zu den gleichartigen, in [Z] validierten Konten.</t>
  </si>
  <si>
    <t>191001</t>
  </si>
  <si>
    <t>VR - FDG - Darlehen Cash-Pooling</t>
  </si>
  <si>
    <t>21303000</t>
  </si>
  <si>
    <t>Payables vs affiliated Companies (no recon acct)</t>
  </si>
  <si>
    <t>Nicht bilanziell validiert (Konto nicht in [Z]); Prüfung nur nach Bezeichnung. Bisher Sonstige Darlehen langfristig (nicht in [Y]); Cash-Pooling ist kurzfristig. Spiegelkonto der Tochtergesellschaften zu den Verrechnungskonten der FDG (dort einheitlich 12303000): aus Sicht der Tochtergesellschaft einheitlich Payables vs affiliated Companies (no recon acct); Sollsalden werden über 12303000 ausgewiesen.</t>
  </si>
  <si>
    <t>191002</t>
  </si>
  <si>
    <t>VR - FDG</t>
  </si>
  <si>
    <t>Nicht bilanziell validiert (Konto nicht in [Z]); Prüfung nur nach Bezeichnung. Bezeichnung Konzernverbindlichkeiten plausibel, 21700000 ist aber in [Y] nicht vorhanden. Spiegelkonto der Tochtergesellschaften zu den Verrechnungskonten der FDG (dort einheitlich 12303000): aus Sicht der Tochtergesellschaft einheitlich Payables vs affiliated Companies (no recon acct); Sollsalden werden über 12303000 ausgewiesen.</t>
  </si>
  <si>
    <t>300109</t>
  </si>
  <si>
    <t>Verbrauchsmaterial</t>
  </si>
  <si>
    <t>Bisher Verbrauchskonto Reparaturmaterial (GuV).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</si>
  <si>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190012</t>
  </si>
  <si>
    <t>Zwischenkonto - Unklare Buchungen Kreditinstitute</t>
  </si>
  <si>
    <t>Sonstige Zwischenbuchungen (Bar/Unterkonto) / Other Interim Transfers (Cash/S)</t>
  </si>
  <si>
    <t>Nicht bilanziell validiert (Konto nicht in [Z]); Prüfung nur nach Bezeichnung. Bisher ohne Zuordnung. Zwischenkonto für ungeklärte Bankbuchungen; neu Other Interim Transfers (Cash/S), das Bankunterkonto für sonstige Zwischenbuchungen.</t>
  </si>
  <si>
    <t>500109</t>
  </si>
  <si>
    <t>811090</t>
  </si>
  <si>
    <t>Sonderleistungen Enteisung</t>
  </si>
  <si>
    <t>Nicht bilanziell validiert (Konto nicht in [Z]); Prüfung nur nach Bezeichnung. Bisher Erlöse aus Leistungen - Sonstige (70800200): in FPA1 nicht zugeordnet, generisch. Erlöse aus Bodenverkehrsdiensten.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</si>
  <si>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811120</t>
  </si>
  <si>
    <t>Sonderleistungen Personentransporte</t>
  </si>
  <si>
    <t>Nicht bilanziell validiert (Konto nicht in [Z]); Prüfung nur nach Bezeichnung. Bisher ohne Zuordnung. Erlöse aus Bodenverkehrsdiensten.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</si>
  <si>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811121</t>
  </si>
  <si>
    <t>Sonderleistungen Crew-Transporte</t>
  </si>
  <si>
    <t>820004</t>
  </si>
  <si>
    <t>Dienstleistungen ZI Basisentgelt FDG</t>
  </si>
  <si>
    <t>Nicht bilanziell validiert (Konto nicht in [Z]); Prüfung nur nach Bezeichnung. Bisher Erlöse aus Leistungen - Immobilien (70800100): in FPA1 nicht zugeordnet.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</si>
  <si>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860000</t>
  </si>
  <si>
    <t>Erlöse aus Ersatzverkehr SkyTrain</t>
  </si>
  <si>
    <t>Nicht bilanziell validiert (Konto nicht in [Z]); Prüfung nur nach Bezeichnung. Bisher Erlöse aus Leistungen - Sonstige (70800200): in FPA1 nicht zugeordnet, generisch.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</si>
  <si>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400000</t>
  </si>
  <si>
    <t>Flugzeugreinigung</t>
  </si>
  <si>
    <t>Nicht bilanziell validiert (Konto nicht in [Z]); Prüfung nur nach Bezeichnung. Bisher ohne Zuordnung. Fremdleistung; neu Purchased Services (Sammelkonto, n:1). Zuordnung analog zu den gleichartigen, in [Z] validierten Konten.</t>
  </si>
  <si>
    <t>471000</t>
  </si>
  <si>
    <t>Kfz-Instandhaltung</t>
  </si>
  <si>
    <t>Nicht bilanziell validiert (Konto nicht in [Z]); Prüfung nur nach Bezeichnung. Bisher ohne Zuordnung. Neu Vehicle Costs (Kraftfahrzeugkosten). n:1: Trennung laufende Instandhaltung / Unfallschäden / Pauschalen geht verloren.</t>
  </si>
  <si>
    <t>471003</t>
  </si>
  <si>
    <t>Kfz-Instandhaltung Unfallschäden</t>
  </si>
  <si>
    <t>471004</t>
  </si>
  <si>
    <t>Kfz-Instandhaltung Pauschalleistungen</t>
  </si>
  <si>
    <t>480000</t>
  </si>
  <si>
    <t>Leistungen Konzernunternehmen</t>
  </si>
  <si>
    <t>21512000</t>
  </si>
  <si>
    <t>Leistungen Arbeitnehmer</t>
  </si>
  <si>
    <t>Nicht bilanziell validiert (Konto nicht in [Z]); Prüfung nur nach Bezeichnung. Bisher Leistungen Arbeitnehmer (21512000, Bilanzkonto, nicht in [Y]): falsch. Von Konzernunternehmen bezogene Leistungen; neu Purchased Services. Konzernbezug über Partnergesellschaft.</t>
  </si>
  <si>
    <t>690001</t>
  </si>
  <si>
    <t>Mietaufw. Spezialfahrzeuge u.-geräte</t>
  </si>
  <si>
    <t>63000000</t>
  </si>
  <si>
    <t>Maschinen und Geräte - periodischer Service</t>
  </si>
  <si>
    <t>Nicht bilanziell validiert (Konto nicht in [Z]); Prüfung nur nach Bezeichnung. Bisher periodischer Service Maschinen und Geräte: Miete ist kein Service. Neu Leasing Expense. Zuordnung analog zu den gleichartigen, in [Z] validierten Konten.</t>
  </si>
  <si>
    <t>629992</t>
  </si>
  <si>
    <t>ZUFUEHRUNG RUECKSTELLUNG STEUERL. ARBEIGEBERANTEIL</t>
  </si>
  <si>
    <t>Nicht bilanziell validiert (Konto nicht in [Z]); Prüfung nur nach Bezeichnung. Bisher ohne Zuordnung. Neu Payroll Expense - Other salary-related expenses. Zuordnung analog zu den gleichartigen, in [Z] validierten Konten.</t>
  </si>
  <si>
    <t>629993</t>
  </si>
  <si>
    <t>VERBRAUCH RUECKSTELLUNG FUER STEUERL. AG-ANTEILE</t>
  </si>
  <si>
    <t>Nicht bilanziell validiert (Konto nicht in [Z]); Prüfung nur nach Bezeichnung. Bisher Verbrauch Qualitätskontrolle: Texttreffer Verbrauch, falsch. Neu Payroll Expense - Other salary-related expenses. Zuordnung analog zu den gleichartigen, in [Z] validierten Konten.</t>
  </si>
  <si>
    <t>640010</t>
  </si>
  <si>
    <t>RZVK auf Jahressonderzahlungen (unterj.)</t>
  </si>
  <si>
    <t>Nicht bilanziell validiert (Konto nicht in [Z]); Prüfung nur nach Bezeichnung. Bisher ohne Zuordnung. Zusatzversorgung; neu Payroll Expense - Pension Contributions. Zuordnung analog zu den gleichartigen, in [Z] validierten Konten.</t>
  </si>
  <si>
    <t>641990</t>
  </si>
  <si>
    <t>Zuführung Rückstellung für Altersversorgung</t>
  </si>
  <si>
    <t>Nicht bilanziell validiert (Konto nicht in [Z]); Prüfung nur nach Bezeichnung. Bisher generisches Zuführungskonto in Other Operating Expense; die gleichartigen Zuführungskonten weist der Kunde im Personalaufwand aus. Neu Payroll Expense - Pension Contributions. Zuordnung analog zu den gleichartigen, in [Z] validierten Konten.</t>
  </si>
  <si>
    <t>641991</t>
  </si>
  <si>
    <t>VERBRAUCH RUECKSTELLUNG FUER ALTERSVERSORGUNG</t>
  </si>
  <si>
    <t>Nicht bilanziell validiert (Konto nicht in [Z]); Prüfung nur nach Bezeichnung. Bezeichnung (Aufwand für Altersversorgung) passt.</t>
  </si>
  <si>
    <t>525000</t>
  </si>
  <si>
    <t>Weiterberechnung - Material/Leistungen Sonstige</t>
  </si>
  <si>
    <t>Nicht bilanziell validiert (Konto nicht in [Z]); Prüfung nur nach Bezeichnung. Bisher Ertrag aus Preisdifferenzen Material-Ledger: falsch. Weiterzuberechnende Kosten; neu Other Operating Expenses. Zuordnung analog zu den gleichartigen, in [Z] validierten Konten.</t>
  </si>
  <si>
    <t>666090</t>
  </si>
  <si>
    <t>Verwaltungskosten Konzern</t>
  </si>
  <si>
    <t>Nicht bilanziell validiert (Konto nicht in [Z]); Prüfung nur nach Bezeichnung. Bisher Rechts- und Beratungskosten: anderer Sachverhalt. Konzernumlage Verwaltung; neu Other Operating Expenses. Alternative: 65008300.</t>
  </si>
  <si>
    <t>670100</t>
  </si>
  <si>
    <t>Arbeitskleidung</t>
  </si>
  <si>
    <t>Nicht bilanziell validiert (Konto nicht in [Z]); Prüfung nur nach Bezeichnung. Bisher Arbeitgeberleistungen (Personalaufwand): Arbeitskleidung ist Betriebsbedarf. Neu Other Supplies.</t>
  </si>
  <si>
    <t>679311</t>
  </si>
  <si>
    <t>Bewachungspersonal Luftsicherheit</t>
  </si>
  <si>
    <t>191003</t>
  </si>
  <si>
    <t>VR - FDG - Ergebnisabführung</t>
  </si>
  <si>
    <t>Nicht bilanziell validiert (Konto nicht in [Z]); Prüfung nur nach Bezeichnung. Bisher Sonstige Verbindlichkeiten mit Restlaufzeit 1-5 Jahre: Fristigkeit passt nicht. Ergebnisabführung gegenüber FDG. Spiegelkonto der Tochtergesellschaften zu den Verrechnungskonten der FDG (dort einheitlich 12303000): aus Sicht der Tochtergesellschaft einheitlich Payables vs affiliated Companies (no recon acct); Sollsalden werden über 12303000 ausgewiesen.</t>
  </si>
  <si>
    <t>841300</t>
  </si>
  <si>
    <t>Erlöse aus Kälteerzeugung/Klimatisierung</t>
  </si>
  <si>
    <t>Nicht bilanziell validiert (Konto nicht in [Z]); Prüfung nur nach Bezeichnung. Bisher Erlöse aus Leistungen - Sonstige (70800200): in FPA1 nicht zugeordnet, generisch. Erlöse aus Versorgungsleistungen.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t>
  </si>
  <si>
    <t>841400</t>
  </si>
  <si>
    <t>Erlöse aus Verteilung Wärme+Kälte / Klimatisierung</t>
  </si>
  <si>
    <t>841500</t>
  </si>
  <si>
    <t>Versteuerung Überdeckung des Bedarfs BHKW2</t>
  </si>
  <si>
    <t>Nicht bilanziell validiert (Konto nicht in [Z]); Prüfung nur nach Bezeichnung. Bisher ohne Zuordnung. Inhalt unklar (Versteuerung der Überdeckung BHKW, Erlösbereich). Fachlich klären; kein Vorschlag.</t>
  </si>
  <si>
    <t>600002</t>
  </si>
  <si>
    <t>Strom Messkosten</t>
  </si>
  <si>
    <t>Nicht bilanziell validiert (Konto nicht in [Z]); Prüfung nur nach Bezeichnung. Bezeichnung (Strom- und Gaskosten) passt; Sammelkonto Energie, n:1. Zuordnung analog zu den gleichartigen, in [Z] validierten Konten.</t>
  </si>
  <si>
    <t>470990</t>
  </si>
  <si>
    <t>Pauschale für Instandhaltung/Betriebskosten</t>
  </si>
  <si>
    <t>690200</t>
  </si>
  <si>
    <t>Aufwand für Gebrauchsüberlassung</t>
  </si>
  <si>
    <t>52030000</t>
  </si>
  <si>
    <t>Aufwand aus Neubewertung</t>
  </si>
  <si>
    <t>Nicht bilanziell validiert (Konto nicht in [Z]); Prüfung nur nach Bezeichnung. Bisher Aufwand aus Neubewertung (Material): falsch. Entgelt für Gebrauchsüberlassung als Mietaufwand; neu Office/Building Rent.</t>
  </si>
  <si>
    <t>222002</t>
  </si>
  <si>
    <t>Gewinnabführung an FDG</t>
  </si>
  <si>
    <t>Nicht bilanziell validiert (Konto nicht in [Z]); Prüfung nur nach Bezeichnung. Bisher ohne Zuordnung. Ergebnisabführung an die Muttergesellschaft ist gesondert auszuweisen (§ 277 Abs. 3 HGB); ein Konto dafür führt [Y] nicht. Neuanlage prüfen.</t>
  </si>
  <si>
    <t>157910</t>
  </si>
  <si>
    <t>Sonst. Forderung aus überzahlter GewSt.</t>
  </si>
  <si>
    <t>Nicht bilanziell validiert (Konto nicht in [Z]); Prüfung nur nach Bezeichnung. Bisher 12110000, in [X] als Forderungen Inland bezeichnet, laut [Y] aber Other Down Payments Made Current Assets. Erstattungsanspruch Gewerbesteuer; neu Receivables from Tax Authorities (no recon acct). Zuordnung analog zu den gleichartigen, in [Z] validierten Konten.</t>
  </si>
  <si>
    <t>110018</t>
  </si>
  <si>
    <t>Stadt-Sparkasse Düsseldorf - Festgeldkonto Park-S</t>
  </si>
  <si>
    <t>780609</t>
  </si>
  <si>
    <t>Verrechnung kalk. Abschreibung</t>
  </si>
  <si>
    <t>780900</t>
  </si>
  <si>
    <t>Bisher außerplanmäßige Abschreibung (bilanziell): falsch. Gegenkonto der kalkulatorischen Abschreibungen (Habensaldo); neu Estimated depreciation (FI-AA). Kalkulatorische Konten stehen beim Kunden außerhalb der GuV (Saldo null) und im SAP-Standard außerhalb der Bilanzstruktur (Not assigned) – sinngemäß gleiche Position. Das Kalkulatorik-Konzept (Bewertungsbereich der Anlagenbuchhaltung, Ledger) ist gesondert festzulegen.</t>
  </si>
  <si>
    <t>897500</t>
  </si>
  <si>
    <t>Umsatzerlöse Organgesellschaften</t>
  </si>
  <si>
    <t>41001500</t>
  </si>
  <si>
    <t>Revenue Affiliate - Product</t>
  </si>
  <si>
    <t>Nicht bilanziell validiert (Konto nicht in [Z]); Prüfung nur nach Bezeichnung. Bisher Umsatzerlöse mit Kostenart: generisch. Umsätze mit Organgesellschaften sind Erlöse mit verbundenen Unternehmen; neu Revenue Affiliate - Product.</t>
  </si>
  <si>
    <t>065020</t>
  </si>
  <si>
    <t>Beteiligung Japon KG</t>
  </si>
  <si>
    <t>Beteiligung Tochtergesellschaften</t>
  </si>
  <si>
    <t>Nicht bilanziell validiert (Konto nicht in [Z]); Prüfung nur nach Bezeichnung. Bisher Beteiligung Tochtergesellschaften. Japon wird in [Z] als Unternehmen mit Beteiligungsverhältnis geführt (Konto 182019), daher Other Long Term Investments wie die übrigen Beteiligungen.</t>
  </si>
  <si>
    <t>065030</t>
  </si>
  <si>
    <t>Beteiligung Laroba KG</t>
  </si>
  <si>
    <t>Nicht bilanziell validiert (Konto nicht in [Z]); Prüfung nur nach Bezeichnung. Bezeichnung grundsätzlich plausibel; ob Laroba ein verbundenes Unternehmen oder eine Beteiligung ist, lässt sich aus den Unterlagen nicht ableiten. Zu klären: verbundenes Unternehmen = 18010000 (bisherige Zuordnung), Beteiligung = 18020000.</t>
  </si>
  <si>
    <t>380127</t>
  </si>
  <si>
    <t>Grundstücke AC II - Baufelder 4-8</t>
  </si>
  <si>
    <t>Nicht bilanziell validiert (Konto nicht in [Z]); Prüfung nur nach Bezeichnung. Bezeichnung passt (Grundstücke). Die Kontonummer liegt jedoch im Vorratsbereich (3xxxxx); Baufelder zur Vermarktung wären Vorratsgrundstücke im Umlaufvermögen, für die [Y] kein Konto führt. Zu klären: Anlagevermögen = 16000000, Vorratsvermögen = Neuanlage in Inventories.</t>
  </si>
  <si>
    <t>097400</t>
  </si>
  <si>
    <t>Rückstellungen für sonstige Zwecke</t>
  </si>
  <si>
    <t>097641</t>
  </si>
  <si>
    <t>Rückst. Erschließungsk. BF 18b+22 Strabag</t>
  </si>
  <si>
    <t>Nicht bilanziell validiert (Konto nicht in [Z]); Prüfung nur nach Bezeichnung. Bisher ohne Zuordnung. Neu Other Provisions (Sammelkonto, n:1). Zuordnung analog zu den gleichartigen, in [Z] validierten Konten.</t>
  </si>
  <si>
    <t>097642</t>
  </si>
  <si>
    <t>Rückst. Erschließungskosten BF 9</t>
  </si>
  <si>
    <t>Rückst.f.drohende Verluste a. schweb. Geschäften</t>
  </si>
  <si>
    <t>Nicht bilanziell validiert (Konto nicht in [Z]); Prüfung nur nach Bezeichnung. Bisher Rückstellung für drohende Verluste aus schwebenden Geschäften; Erschließungskosten sind eine Verbindlichkeitsrückstellung. Neu Other Provisions (Sammelkonto, n:1).</t>
  </si>
  <si>
    <t>097643</t>
  </si>
  <si>
    <t>Rückst. Erschließungsk. BF 23</t>
  </si>
  <si>
    <t>Nicht bilanziell validiert (Konto nicht in [Z]); Prüfung nur nach Bezeichnung. Bisher Pensionsrückstellung: anderer Sachverhalt. Neu Other Provisions (Sammelkonto, n:1).</t>
  </si>
  <si>
    <t>097644</t>
  </si>
  <si>
    <t>Rückst. Erschließungsk. BF 20</t>
  </si>
  <si>
    <t>097647</t>
  </si>
  <si>
    <t>RSt Bodenbefunde etc. - BF 1 - Dr. Greve AG</t>
  </si>
  <si>
    <t>182021</t>
  </si>
  <si>
    <t>Verbindlichkeiten gegenüber Laroba</t>
  </si>
  <si>
    <t>Nicht bilanziell validiert (Konto nicht in [Z]); Prüfung nur nach Bezeichnung. Bisher Verbindlichkeiten gegenüber Berufsgenossenschaft (reiner Texttreffer). Zielkonto hängt vom Status der Laroba ab (siehe 065030): verbundenes Unternehmen = 21300000; Beteiligungsunternehmen = Neuanlage wie 182019.</t>
  </si>
  <si>
    <t>824951</t>
  </si>
  <si>
    <t>Mieterlöse Sonstige Grundstücksflächen</t>
  </si>
  <si>
    <t>Nicht bilanziell validiert (Konto nicht in [Z]); Prüfung nur nach Bezeichnung. Bisher Umsatzerlöse mit Kostenart (41000400): generisch, bildet Mieterlöse nicht ab. In Gross Revenue führt [Y] nur generische Erlöskonten; ein Konto für diese Erlösart existiert nicht. Entscheidung vom 02.10.2026: Neuanlage als eigenes Erlöskonto wie bei den gleichartigen Konten in [Z] (Blatt Neuanlagen). Das Konto hat in [Z] keinen Saldo – Bedarf vor der Anlage bestätigen. Hinweis: Bei Abbildung im Vertrags- und Leasingmanagement bucht der Standard auf 70700000 (in FPA1 nicht zugeordnet); die Kontenfindung ist dann umzustellen.</t>
  </si>
  <si>
    <t>824970</t>
  </si>
  <si>
    <t>Mieterlöse Konzerngesellschaften</t>
  </si>
  <si>
    <t>599999</t>
  </si>
  <si>
    <t>Bestandsveränderung RHB-Stoffe</t>
  </si>
  <si>
    <t>54040000</t>
  </si>
  <si>
    <t>Bestandsveränderung - Rückstellungen</t>
  </si>
  <si>
    <t>Nicht bilanziell validiert (Konto nicht in [Z]); Prüfung nur nach Bezeichnung. Bisher Bestandsveränderung Rückstellungen: anderer Sachverhalt. Verwendung des Kontos unklar (Bestandsveränderung RHB bei periodischer Bestandsführung?). Vorläufig Consumption - Raw Material; fachlich klären.</t>
  </si>
  <si>
    <t>470999</t>
  </si>
  <si>
    <t>Bezogene Bauleistungen</t>
  </si>
  <si>
    <t>Nicht bilanziell validiert (Konto nicht in [Z]); Prüfung nur nach Bezeichnung. Bezeichnung (Bezogene Dienstleistungen) passt. Bauleistungen sind umsatzsteuerlich gesondert relevant (§ 13b UStG) – über Steuerkennzeichen, bei Bedarf eigenes Konto.</t>
  </si>
  <si>
    <t>691210</t>
  </si>
  <si>
    <t>Leasingaufwendungen  Gebäude und Flächen</t>
  </si>
  <si>
    <t>Nicht bilanziell validiert (Konto nicht in [Z]); Prüfung nur nach Bezeichnung. Text passt, 63009100 ist aber ein Konto der Leasingbilanzierung (Nutzungsrechte, ROU) und in FPA1 nicht zugeordnet. Neu Leasing Expense; bei reinem Mietverhältnis 63005000. Zuordnung analog zu den gleichartigen, in [Z] validierten Konten.</t>
  </si>
  <si>
    <t>263022</t>
  </si>
  <si>
    <t>JAPON - Erträge aus Beteilig. an PersGes.</t>
  </si>
  <si>
    <t>Nicht bilanziell validiert (Konto nicht in [Z]); Prüfung nur nach Bezeichnung. Bisher Sonstige Erträge (TRM): Treasury-Konto. Beteiligungsertrag aus Personengesellschaft; neu Gain from Long Term Investment. n:1 mit 263010: Erträge aus Kapital- und Personengesellschaften sind steuerlich unterschiedlich zu behandeln – eigenes Konto prüfen.</t>
  </si>
  <si>
    <t>222001</t>
  </si>
  <si>
    <t>Verlustabführung an FDG</t>
  </si>
  <si>
    <t>Überarbeitung Kontenplan-Mapping DUS → YCOA: Zusammenfassung</t>
  </si>
  <si>
    <t>Stand nach den Entscheidungen des Auftraggebers vom 02.10.2026. Alle Kennzahlen sind Formeln auf das Blatt Mapping und rechnen bei Änderungen dort neu.</t>
  </si>
  <si>
    <t>1. Kennzahlen</t>
  </si>
  <si>
    <t>Geprüfte Kundenkonten</t>
  </si>
  <si>
    <t xml:space="preserve">    davon mit Bilanz-/GuV-Position in [Z] (bilanziell validiert)</t>
  </si>
  <si>
    <t>Nicht bilanziell validierte Konten (kein Eintrag in [Z], nur Bezeichnungsprüfung)</t>
  </si>
  <si>
    <t>Korrekturen (Status korrigiert)</t>
  </si>
  <si>
    <t xml:space="preserve">    davon bisher falsch zugeordnet</t>
  </si>
  <si>
    <t xml:space="preserve">    davon bisher ohne Zuordnung (TBD), jetzt zugeordnet</t>
  </si>
  <si>
    <t>Unverändert bestätigt</t>
  </si>
  <si>
    <t>Neuanlage (entschieden, Vorschlag im Blatt Neuanlagen)</t>
  </si>
  <si>
    <t>Offene Fälle gesamt (Neuanlage prüfen + manuell klären)</t>
  </si>
  <si>
    <t xml:space="preserve">    Neuanlage prüfen (kein passendes YCOA-Konto, kein Vorschlag)</t>
  </si>
  <si>
    <t xml:space="preserve">    Manuell klären (Sachverhalt oder Ausweis offen)</t>
  </si>
  <si>
    <t>Kontrolle: Summe aller Status = geprüfte Konten</t>
  </si>
  <si>
    <t>Kontrolle: alle Nummern im Blatt Neuanlagen frei</t>
  </si>
  <si>
    <t>Vergleich mit den Konten aus [Y] und [X] sowie innerhalb der Liste</t>
  </si>
  <si>
    <t>2. Ergebnis der Prüfung des bisherigen Mappings</t>
  </si>
  <si>
    <t>Bezeichnungsprüfung: OK</t>
  </si>
  <si>
    <t>Bezeichnungsprüfung: Abweichung</t>
  </si>
  <si>
    <t>Bezeichnungsprüfung: kein Mapping (bisher TBD)</t>
  </si>
  <si>
    <t>Bilanzprüfung: OK</t>
  </si>
  <si>
    <t>Bilanzprüfung: Abweichung</t>
  </si>
  <si>
    <t>Bilanzprüfung: kein Mapping (bisher TBD, Konto in [Z])</t>
  </si>
  <si>
    <t>Bilanzprüfung: nicht prüfbar (Konto nicht in [Z])</t>
  </si>
  <si>
    <t>Bisheriges Zielkonto in [Y] nicht vorhanden</t>
  </si>
  <si>
    <t>Konten aus [X], die im Buchungskreis 10DU / in FPA1 fehlen (u. a. Länderversionen BR/AU)</t>
  </si>
  <si>
    <t>Bisheriges Zielkonto in FPA1 keiner Position zugeordnet (Not assigned)</t>
  </si>
  <si>
    <t>Treasury-, Leasing- (ROU) und Verrechnungskonten außerhalb der Bilanzstruktur</t>
  </si>
  <si>
    <t>3. Konfidenz der neuen Einstufung</t>
  </si>
  <si>
    <t>4. Status nach Bereich</t>
  </si>
  <si>
    <t>Bereich</t>
  </si>
  <si>
    <t>Summe</t>
  </si>
  <si>
    <t>Bilanz Aktiva</t>
  </si>
  <si>
    <t>Bilanz Passiva</t>
  </si>
  <si>
    <t>Gewinn- und Verlustrechnung</t>
  </si>
  <si>
    <t>Kalkulatorische Kosten (außerhalb GuV)</t>
  </si>
  <si>
    <t>Nicht in [Z] (nicht bilanziell validiert)</t>
  </si>
  <si>
    <t>Konten mit zwei Positionen in [Z] (157300, 195024, 195500) zählen im Bereich der zuerst genannten Position.</t>
  </si>
  <si>
    <t>5. Entscheidungen des Auftraggebers vom 02.10.2026</t>
  </si>
  <si>
    <t>1. Erlöskonten: Erlöskonten neu anlegen.</t>
  </si>
  <si>
    <t>Die 85 Konten der Klasse 8 ohne passendes YCOA-Konto (84 Umsatzerlöskonten und 870000 aktivierte Eigenleistungen) erhalten den Status Neuanlage. Das Blatt Neuanlagen enthält je Konto den Vorschlag für Nummer, Bezeichnung, Kopiervorlage und Position.</t>
  </si>
  <si>
    <t>2. Standardkonten ohne FPA1-Position: In der kundeneigenen Bilanzstruktur zuordnen.</t>
  </si>
  <si>
    <t>21120000 (WE/RE) wird den Verbindlichkeiten aus L&amp;L zugeordnet, 70020000/70030000 (Anlagenabgang) und 71010200 (Zuschreibungen) den sonstigen betrieblichen Erträgen. Die vier Kundenkonten 300009, 867000, 867001 und 202110 sind damit nicht mehr offen (zwei korrigiert, zwei unverändert).</t>
  </si>
  <si>
    <t>3. Zusatzregel ein YCOA-Konto je Kundenzeile: Vorerst beibehalten.</t>
  </si>
  <si>
    <t>Keine Änderung: 65001000 bleibt den bezogenen Leistungen (GuV 4b) vorbehalten, Fremdleistungen der sonstigen betrieblichen Aufwendungen (GuV 7) laufen auf 65008300; entsprechend 63005000/63009000.</t>
  </si>
  <si>
    <t>6. Wesentliche Befunde zum bisherigen Vorschlag</t>
  </si>
  <si>
    <t>• Kontoart verwechselt: Bestandskonten lagen auf Aufwands-/Ertragskonten und umgekehrt (z. B. Bauten auf einem Abschreibungskonto, Lagermaterial auf Sonstiges Material, Auflösung von Rückstellungen auf dem Rückstellungskonto).</t>
  </si>
  <si>
    <t>• Bilanzseite vertauscht: Forderungen aus L&amp;L auf einem passiven Abgrenzungsposten, passive auf aktive Rechnungsabgrenzung, Bankdarlehen auf gewährte Darlehen.</t>
  </si>
  <si>
    <t>• Reine Texttreffer ohne fachlichen Bezug (z. B. Verbindlichkeiten gegenüber FDI → Verbindlichkeiten gegenüber Berufsgenossenschaft, Lärmzuschläge und Beiträge → Zinserträge, Leistungen Ground → Grundstücke ROU).</t>
  </si>
  <si>
    <t>• Hard Overrides mit falschem Ziel: 12110000 ist in [X] als Forderungen Inland bezeichnet, laut [Y] aber Other Down Payments Made Current Assets (Inventories); 21700000 Konzernverbindlichkeiten existiert in [Y] nicht.</t>
  </si>
  <si>
    <t>• Zielkonten außerhalb der Bilanzstruktur: Treasury- (TRM), Leasing- (ROU), Immobilien- und sekundäre Verrechnungskonten (9xxxxxxx) sind in FPA1 keiner Position zugeordnet oder nicht direkt bebuchbar.</t>
  </si>
  <si>
    <t>• Länderfremde Konten (Brasilien, Australien) und weitere Konten aus [X], die im Buchungskreis 10DU nicht vorhanden sind.</t>
  </si>
  <si>
    <t>• YCOA kennt keine flughafenspezifischen Erlöskonten und keine Konten für Sonderposten, Gesellschafterdarlehen, Beteiligungsunternehmen und Ergebnisabführung. Für die Erlöskonten ist die Neuanlage entschieden (Blatt Neuanlagen); für die übrigen Fälle steht die Entscheidung über Neuanlagen noch aus (Status Neuanlage prüfen).</t>
  </si>
  <si>
    <t>• Sammelkonten: mehrere generische YCOA-Konten nehmen viele Kundenkonten auf (siehe Blatt Sammelkonten); wo die Trennung fachlich relevant ist, steht ein Hinweis in der Begründung. Jedes Zielkonto bedient dabei nur eine Bilanz-/GuV-Zeile des Kunden, damit dessen Bilanz und GuV aus YCOA-Konten ableitbar bleiben.</t>
  </si>
  <si>
    <t>Die Zuordnungstabelle der Bilanz-/GuV-Positionen Kunde ↔ SAP-Standard steht im Blatt Positionszuordnung; Methode, Wertebereiche und Annahmen im Blatt Hinweise.</t>
  </si>
  <si>
    <t>Neuanlagen: Vorschlag für die neu anzulegenden Erlöskonten (Entscheidung vom 02.10.2026)</t>
  </si>
  <si>
    <t>Diese Konten existieren in YCOA noch nicht. Kontonummer = Präfix + Kundenkonto; das Präfix steht in der gelben Eingabezelle C3 und kann geändert werden, die Nummern im Blatt Mapping folgen per Formel. Spalte J prüft die Nummer nur gegen die Konten aus [Y] und [X] (Blatt YCOA-Konten) und auf Dubletten in dieser Liste; vor der Anlage zusätzlich im System gegen den gesamten Kontenplan YCOA prüfen. Bezeichnung = Bezeichnung des Kundenkontos (Langtext, höchstens 50 Zeichen); Kurztexte sind aus dem Altsystem zu übernehmen.</t>
  </si>
  <si>
    <t>Präfix für neue Kontonummern</t>
  </si>
  <si>
    <t>41</t>
  </si>
  <si>
    <t>Eingabezelle. Vorschlag 41: Erlösbereich 41xxxxxx, Block 418xxxxx in [Y]/[X] unbelegt; entspricht der im System bereits verwendeten Konvention 99 + Kundenkonto für die kundeneigenen Verrechnungskonten.</t>
  </si>
  <si>
    <t>Neue Kontonummer (Vorschlag)</t>
  </si>
  <si>
    <t>Bezeichnung neues Konto (Vorschlag, Langtext)</t>
  </si>
  <si>
    <t>Kopiervorlage (YCOA)</t>
  </si>
  <si>
    <t>Bezeichnung Kopiervorlage</t>
  </si>
  <si>
    <t>Vorgesehene Position SAP-Standard (FPA1)</t>
  </si>
  <si>
    <t>Erlösgruppe / GuV-Zeile Kunde</t>
  </si>
  <si>
    <t>Saldo 2025 laut [Z] in EUR (Haben negativ)</t>
  </si>
  <si>
    <t>Prüfung Nummer</t>
  </si>
  <si>
    <t>Hinweis</t>
  </si>
  <si>
    <t>Gross Revenue (FPA1/022)</t>
  </si>
  <si>
    <t>1. Umsatzerlöse &gt; Flughafenentgelte &gt; Landeentgelte (fix)</t>
  </si>
  <si>
    <t>1. Umsatzerlöse &gt; Flughafenentgelte &gt; Landeentgelte (variabel)</t>
  </si>
  <si>
    <t>1. Umsatzerlöse &gt; Flughafenentgelte &gt; Landeentgelte (PRM)</t>
  </si>
  <si>
    <t>1. Umsatzerlöse &gt; Flughafenentgelte &gt; Abstellentgelte</t>
  </si>
  <si>
    <t>1. Umsatzerlöse &gt; Bodenverkehrsdienste &gt; Abfertigungsentgelte</t>
  </si>
  <si>
    <t>1. Umsatzerlöse &gt; Bodenverkehrsdienste &gt; Sonderleistungen</t>
  </si>
  <si>
    <t>1. Umsatzerlöse &gt; Bodenverkehrsdienste &gt; Sonderleistungen (analog 811xxx, nicht in [Z])</t>
  </si>
  <si>
    <t>Nicht in [Z] (bei FDG 2025/2024 ohne Saldo): Bedarf vor der Anlage bestätigen.</t>
  </si>
  <si>
    <t>1. Umsatzerlöse &gt; Sonstige Erlöse</t>
  </si>
  <si>
    <t>1. Umsatzerlöse &gt; Mieterlöse</t>
  </si>
  <si>
    <t>Bei Vertrags- und Leasingmanagement Kontenfindung auf dieses Konto umstellen (Standard: 70700000).</t>
  </si>
  <si>
    <t>1. Umsatzerlöse &gt; Erlösgruppe klären (Nummernkreis der Mieterlöse, Bezeichnung Dienstleistung; nicht in [Z])</t>
  </si>
  <si>
    <t>Erlöse mit verbundenen Unternehmen: Partnergesellschaft mitführen. Nicht in [Z] (bei FDG 2025/2024 ohne Saldo): Bedarf vor der Anlage bestätigen.</t>
  </si>
  <si>
    <t>Mieterlöse Sonstiges IM</t>
  </si>
  <si>
    <t>Bezeichnung gegenüber dem Altkonto korrigiert (dort: Sonstiegs). Bei Vertrags- und Leasingmanagement Kontenfindung auf dieses Konto umstellen (Standard: 70700000).</t>
  </si>
  <si>
    <t>1. Umsatzerlöse &gt; Mieterlöse (analog 820xxx, nicht in [Z])</t>
  </si>
  <si>
    <t>Bei Vertrags- und Leasingmanagement Kontenfindung auf dieses Konto umstellen (Standard: 70700000). Nicht in [Z] (bei FDG 2025/2024 ohne Saldo): Bedarf vor der Anlage bestätigen.</t>
  </si>
  <si>
    <t>Erlöse mit verbundenen Unternehmen: Partnergesellschaft mitführen. Bei Vertrags- und Leasingmanagement Kontenfindung auf dieses Konto umstellen (Standard: 70700000). Nicht in [Z] (bei FDG 2025/2024 ohne Saldo): Bedarf vor der Anlage bestätigen.</t>
  </si>
  <si>
    <t>1. Umsatzerlöse &gt; Pachterlöse, Umsatz- und Konzessionsabgaben</t>
  </si>
  <si>
    <t>1. Umsatzerlöse &gt; Erlöse aus Nebenkosten- und Versorgungsleistungen</t>
  </si>
  <si>
    <t>Bei Vertrags- und Leasingmanagement Kontenfindung auf dieses Konto umstellen (Standard: 70800100).</t>
  </si>
  <si>
    <t>1. Umsatzerlöse &gt; Erlöse aus Nebenkosten- und Versorgungsleistungen (analog 841000, nicht in [Z])</t>
  </si>
  <si>
    <t>1. Umsatzerlöse &gt; Sonstige Erlöse (analog 863440, nicht in [Z])</t>
  </si>
  <si>
    <t>Abstimmung mit den Weiterberechnungskonten 529xxx.</t>
  </si>
  <si>
    <t>in FPA1 ohne Entsprechung; eigene GuV-Zeile 2 in der kundeneigenen Bilanzstruktur (ersatzweise Other Operating Revenue, FPA1/019)</t>
  </si>
  <si>
    <t>2. Andere aktivierte Eigenleistungen</t>
  </si>
  <si>
    <t>Kein Umsatzerlös: eigene GuV-Zeile 2. Nummer außerhalb des Erlösblocks erwägen; Abrechnungslogik der Anlagen im Bau abstimmen.</t>
  </si>
  <si>
    <t>Anzahl neu anzulegender Konten / Summe Saldo 2025</t>
  </si>
  <si>
    <t>Zuordnung der Bilanz-/GuV-Positionen Kunde [Z] ↔ SAP-Standard [Y] (Bilanzstruktur FPA1)</t>
  </si>
  <si>
    <t>Grundlage der Bilanzprüfung: ein YCOA-Konto gilt als positionsgleich, wenn seine FPA1-Position zu den hier genannten SAP-Positionen der Kundenposition gehört. Die Strukturen sind unterschiedlich gegliedert (HGB-Gliederung beim Kunden, kostenartenorientierte Standardstruktur in SAP); die Zuordnung erfolgt sinngemäß. Weil die SAP-Positionen gröber sind als die Zeilen der Kundenbilanz/-GuV, gilt zusätzlich: ein YCOA-Konto nimmt nur Kundenkonten derselben Bilanz-/GuV-Zeile auf (siehe Blatt Hinweise).</t>
  </si>
  <si>
    <t>Position Kunde [Z] (Code)</t>
  </si>
  <si>
    <t>Position Kunde [Z] (Bezeichnung)</t>
  </si>
  <si>
    <t>Position(en) SAP-Standard [Y] (FPA1)</t>
  </si>
  <si>
    <t>Art der Zuordnung</t>
  </si>
  <si>
    <t>Anzahl Kundenkonten</t>
  </si>
  <si>
    <t>Aktiva</t>
  </si>
  <si>
    <t>1031011</t>
  </si>
  <si>
    <t>A. Anlagevermögen &gt; I. Immaterielle VG &gt; 1. Konzessionen, Schutzrechte, Lizenzen (Software und sonstige immaterielle WG)</t>
  </si>
  <si>
    <t>Intangible Assets (FPA1/063); Accumulated Amortization (FPA1/064)</t>
  </si>
  <si>
    <t>1:n (verteilt)</t>
  </si>
  <si>
    <t>Der Nettoausweis des Kunden entspricht Intangible Assets zuzüglich Accumulated Amortization (kumulierte Abschreibungen gesondert).</t>
  </si>
  <si>
    <t>1031031</t>
  </si>
  <si>
    <t>A. Anlagevermögen &gt; I. Immaterielle VG &gt; 2. Geleistete Anzahlungen</t>
  </si>
  <si>
    <t>Intangible Assets (FPA1/063)</t>
  </si>
  <si>
    <t>n:1 (zusammengefasst)</t>
  </si>
  <si>
    <t>In Intangible Assets gibt es kein Anzahlungskonto (Konto 050090: Neuanlage prüfen).</t>
  </si>
  <si>
    <t>1032011</t>
  </si>
  <si>
    <t>A. Anlagevermögen &gt; II. Sachanlagen &gt; 1. Grundstücke und Bauten &gt; a) Flughafenbauten inkl. Grundstücke</t>
  </si>
  <si>
    <t>Property Plant &amp; Equipment (Gross) (FPA1/052); Accumulated Depreciation (FPA1/062)</t>
  </si>
  <si>
    <t>Der Nettoausweis des Kunden entspricht Property Plant &amp; Equipment (Net): Bestandskonten in Property Plant &amp; Equipment (Gross), kumulierte Abschreibungen gesondert in Accumulated Depreciation. Die Unterpositionen des Kunden kennt der SAP-Standard nicht.</t>
  </si>
  <si>
    <t>1032012</t>
  </si>
  <si>
    <t>A. Anlagevermögen &gt; II. Sachanlagen &gt; 1. Grundstücke und Bauten &gt; b) Grundstücke mit Wohnbauten</t>
  </si>
  <si>
    <t>1032013</t>
  </si>
  <si>
    <t>A. Anlagevermögen &gt; II. Sachanlagen &gt; 1. Grundstücke und Bauten &gt; c) Grundstücke ohne Bauten</t>
  </si>
  <si>
    <t>1032014</t>
  </si>
  <si>
    <t>A. Anlagevermögen &gt; II. Sachanlagen &gt; 1. Grundstücke und Bauten &gt; d) Erbbaurechte</t>
  </si>
  <si>
    <t>1032021</t>
  </si>
  <si>
    <t>A. Anlagevermögen &gt; II. Sachanlagen &gt; 2. Technische Anlagen und Maschinen &gt; a) Flughafenanlagen</t>
  </si>
  <si>
    <t>1032022</t>
  </si>
  <si>
    <t>A. Anlagevermögen &gt; II. Sachanlagen &gt; 2. Technische Anlagen und Maschinen &gt; b) Betriebsanlagen</t>
  </si>
  <si>
    <t>1032031</t>
  </si>
  <si>
    <t>A. Anlagevermögen &gt; II. Sachanlagen &gt; 3. Andere Anlagen, Betriebs- und Geschäftsausstattung</t>
  </si>
  <si>
    <t>1032041</t>
  </si>
  <si>
    <t>A. Anlagevermögen &gt; II. Sachanlagen &gt; 4. Geleistete Anzahlungen und Anlagen im Bau</t>
  </si>
  <si>
    <t>Anlagen im Bau und geleistete Anzahlungen auf Sachanlagen liegen im SAP-Standard in Property Plant &amp; Equipment (Gross); Wertberichtigungen in Accumulated Depreciation.</t>
  </si>
  <si>
    <t>1033010</t>
  </si>
  <si>
    <t>A. Anlagevermögen &gt; III. Finanzanlagen &gt; 1. Anteile an verbundenen Unternehmen</t>
  </si>
  <si>
    <t>Long-Term Investments (FPA1/065)</t>
  </si>
  <si>
    <t>Der SAP-Standard führt alle Finanzanlagen in einer Position; die HGB-Untergliederung bleibt nur über getrennte Konten erhalten.</t>
  </si>
  <si>
    <t>1033030/00</t>
  </si>
  <si>
    <t>A. Anlagevermögen &gt; III. Finanzanlagen &gt; 2. Beteiligungen</t>
  </si>
  <si>
    <t>1033042</t>
  </si>
  <si>
    <t>A. Anlagevermögen &gt; III. Finanzanlagen &gt; 3. Ausleihungen an Unternehmen mit Beteiligungsverhältnis (Restlaufzeit &gt; 1 Jahr)</t>
  </si>
  <si>
    <t>1033062</t>
  </si>
  <si>
    <t>A. Anlagevermögen &gt; III. Finanzanlagen &gt; 4. Sonstige Ausleihungen</t>
  </si>
  <si>
    <t>1041010</t>
  </si>
  <si>
    <t>B. Umlaufvermögen &gt; I. Vorräte &gt; 1. Roh-, Hilfs- und Betriebsstoffe</t>
  </si>
  <si>
    <t>Inventories (FPA1/050)</t>
  </si>
  <si>
    <t>1:1</t>
  </si>
  <si>
    <t>Bestandskonten für Roh-, Hilfs- und Betriebsstoffe einschließlich Wertberichtigung auf den Lagerbestand.</t>
  </si>
  <si>
    <t>1042011</t>
  </si>
  <si>
    <t>B. Umlaufvermögen &gt; II. Forderungen und sonstige VG &gt; 1. Forderungen aus Lieferungen und Leistungen (Restlaufzeit ≤ 1 Jahr)</t>
  </si>
  <si>
    <t>Accounts Receivable (FPA1/049)</t>
  </si>
  <si>
    <t>Der Kunde weist hier auch Kartenverrechnungskonten und noch nicht fakturierte Erlöse aus; Unbilled Revenue liegt im SAP-Standard in Other Current Assets (Konto 199982: manuell klären).</t>
  </si>
  <si>
    <t>1042031/03</t>
  </si>
  <si>
    <t>B. Umlaufvermögen &gt; II. Forderungen und sonstige VG &gt; 2. Forderungen gegen verbundene Unternehmen (saldiert: FD Immobilien)</t>
  </si>
  <si>
    <t>Accounts Receivable (FPA1/049); Other Payable (FPA1/057)</t>
  </si>
  <si>
    <t>Der Kunde saldiert je verbundenem Unternehmen Forderungen, Verbindlichkeiten, Cash-Pooling und Verrechnung in einer Position. Der SAP-Standard weist unsaldiert aus: Forderungskonten in Accounts Receivable, Verbindlichkeitskonten in Other Payable.</t>
  </si>
  <si>
    <t>1042031/04</t>
  </si>
  <si>
    <t>B. Umlaufvermögen &gt; II. Forderungen und sonstige VG &gt; 2. Forderungen gegen verbundene Unternehmen (saldiert: FD Ground Handling)</t>
  </si>
  <si>
    <t>1042031/06</t>
  </si>
  <si>
    <t>B. Umlaufvermögen &gt; II. Forderungen und sonstige VG &gt; 2. Forderungen gegen verbundene Unternehmen (saldiert: FD Energie)</t>
  </si>
  <si>
    <t>1042041</t>
  </si>
  <si>
    <t>B. Umlaufvermögen &gt; II. Forderungen und sonstige VG &gt; 3. Forderungen gegen Unternehmen mit Beteiligungsverhältnis</t>
  </si>
  <si>
    <t>Im SAP-Standard keine eigene Position; fällt unter Accounts Receivable (Konten: Neuanlage prüfen).</t>
  </si>
  <si>
    <t>1042051</t>
  </si>
  <si>
    <t>B. Umlaufvermögen &gt; II. Forderungen und sonstige VG &gt; 4. Sonstige Vermögensgegenstände (Restlaufzeit ≤ 1 Jahr)</t>
  </si>
  <si>
    <t>Accounts Receivable (FPA1/049); Other Current Assets (FPA1/074)</t>
  </si>
  <si>
    <t>Im SAP-Standard verteilt: sonstige Forderungen und Mitarbeiterforderungen in Accounts Receivable, Steuerforderungen in Other Current Assets.</t>
  </si>
  <si>
    <t>1042052</t>
  </si>
  <si>
    <t>B. Umlaufvermögen &gt; II. Forderungen und sonstige VG &gt; 4. Sonstige Vermögensgegenstände (Steuerverrechnung Zoll/Stromsteuer, saldoabhängig)</t>
  </si>
  <si>
    <t>Accounts Receivable (FPA1/049); Other Current Assets (FPA1/074); Other Payable (FPA1/057)</t>
  </si>
  <si>
    <t>Saldoabhängiger Ausweis beim Kunden (je nach Saldo Aktiv- oder Passivseite); im SAP-Standard je Konto in Other Current Assets/Accounts Receivable oder Other Payable.</t>
  </si>
  <si>
    <t>1042054</t>
  </si>
  <si>
    <t>B. Umlaufvermögen &gt; II. Forderungen und sonstige VG &gt; 4. Sonstige Vermögensgegenstände (übrige Verrechnungskonten)</t>
  </si>
  <si>
    <t>Wie Sonstige Vermögensgegenstände: Accounts Receivable bzw. Other Current Assets. Konto 195024 wechselt saldoabhängig in die sonstigen Verbindlichkeiten.</t>
  </si>
  <si>
    <t>1042055</t>
  </si>
  <si>
    <t>B. Umlaufvermögen &gt; II. Forderungen und sonstige VG &gt; 4. Sonstige Vermögensgegenstände (Restlaufzeit &gt; 1 Jahr)</t>
  </si>
  <si>
    <t>Notes Receivable (FPA1/060)</t>
  </si>
  <si>
    <t>Forderungen mit Restlaufzeit über einem Jahr führt der SAP-Standard in Notes Receivable.</t>
  </si>
  <si>
    <t>1044000</t>
  </si>
  <si>
    <t>B. Umlaufvermögen &gt; III. Flüssige Mittel (Kassenbestand, Guthaben bei Kreditinstituten)</t>
  </si>
  <si>
    <t>Cash &amp; Equivalents (FPA1/048)</t>
  </si>
  <si>
    <t>Kassen- und Bankkonten einschließlich Bankunterkonten; in [Z] je Bank bzw. Kasse ein Unterknoten (1044000/00 bis /20).</t>
  </si>
  <si>
    <t>1062000</t>
  </si>
  <si>
    <t>C. Rechnungsabgrenzungsposten</t>
  </si>
  <si>
    <t>Other Current Assets (FPA1/074)</t>
  </si>
  <si>
    <t>Prepaid Expenses liegt im SAP-Standard in Other Current Assets.</t>
  </si>
  <si>
    <t>1080000</t>
  </si>
  <si>
    <t>D. Aktiver Unterschiedsbetrag aus der Vermögensverrechnung</t>
  </si>
  <si>
    <t>– keine entsprechende Position –</t>
  </si>
  <si>
    <t>kein Äquivalent</t>
  </si>
  <si>
    <t>Im SAP-Standard keine entsprechende Position; die betroffenen Konten sind mit Neuanlage prüfen gekennzeichnet.</t>
  </si>
  <si>
    <t>1090000</t>
  </si>
  <si>
    <t>E. Nicht durch Eigenkapital gedeckter Fehlbetrag</t>
  </si>
  <si>
    <t>Passiva</t>
  </si>
  <si>
    <t>2011000</t>
  </si>
  <si>
    <t>A. Eigenkapital &gt; I. Gezeichnetes Kapital</t>
  </si>
  <si>
    <t>Equity - Subscribed Capital (FPA1/059)</t>
  </si>
  <si>
    <t>Common Stock liegt im SAP-Standard in Equity - Subscribed Capital.</t>
  </si>
  <si>
    <t>2012000</t>
  </si>
  <si>
    <t>A. Eigenkapital &gt; II. Kapitalrücklage</t>
  </si>
  <si>
    <t>Equity - Reserve Accounts (FPA1/058)</t>
  </si>
  <si>
    <t>Rücklagen liegen im SAP-Standard gemeinsam in Equity - Reserve Accounts.</t>
  </si>
  <si>
    <t>2013000</t>
  </si>
  <si>
    <t>A. Eigenkapital &gt; III. Gewinnrücklagen (andere Gewinnrücklagen)</t>
  </si>
  <si>
    <t>2014000</t>
  </si>
  <si>
    <t>A. Eigenkapital &gt; IV. Gewinn-/Verlustvortrag</t>
  </si>
  <si>
    <t>Retained Earnings ist im SAP-Standard der Position Equity - Subscribed Capital zugeordnet.</t>
  </si>
  <si>
    <t>2016000</t>
  </si>
  <si>
    <t>A. Eigenkapital &gt; VI. Nicht durch Eigenkapital gedeckter Fehlbetrag (Gegenposten)</t>
  </si>
  <si>
    <t>2024000</t>
  </si>
  <si>
    <t>B. Sonderposten für Investitionszuschüsse zu Sachanlagen</t>
  </si>
  <si>
    <t>2021003</t>
  </si>
  <si>
    <t>C. Sonderposten mit Rücklageanteil</t>
  </si>
  <si>
    <t>2031000</t>
  </si>
  <si>
    <t>D. Rückstellungen &gt; 1. Rückstellungen für Pensionen und ähnliche Verpflichtungen</t>
  </si>
  <si>
    <t>Provisions (FPA1/066)</t>
  </si>
  <si>
    <t>Der SAP-Standard führt alle Rückstellungen in einer Position Provisions (unter Non-Current Liabilities).</t>
  </si>
  <si>
    <t>2033000</t>
  </si>
  <si>
    <t>D. Rückstellungen &gt; 2. Steuerrückstellungen</t>
  </si>
  <si>
    <t>2034001</t>
  </si>
  <si>
    <t>D. Rückstellungen &gt; 3. Sonstige Rückstellungen (Lärmschutzmaßnahmen)</t>
  </si>
  <si>
    <t>2034002</t>
  </si>
  <si>
    <t>D. Rückstellungen &gt; 3. Sonstige Rückstellungen (übrige)</t>
  </si>
  <si>
    <t>2042010</t>
  </si>
  <si>
    <t>E. Verbindlichkeiten &gt; 1. Verbindlichkeiten gegenüber Kreditinstituten &gt; Langfristige Darlehen</t>
  </si>
  <si>
    <t>Bank Loans (FPA1/067)</t>
  </si>
  <si>
    <t>Fristigkeit im SAP-Standard über Restlaufzeitenkonten innerhalb von Bank Loans.</t>
  </si>
  <si>
    <t>2042020</t>
  </si>
  <si>
    <t>E. Verbindlichkeiten &gt; 1. Verbindlichkeiten gegenüber Kreditinstituten &gt; Kurzfristige Darlehen</t>
  </si>
  <si>
    <t>2042030/00</t>
  </si>
  <si>
    <t>E. Verbindlichkeiten &gt; 1. Verbindlichkeiten gegenüber Kreditinstituten &gt; Sonstige (Zinsabgrenzung)</t>
  </si>
  <si>
    <t>In Bank Loans gibt es kein Zinsabgrenzungskonto (Konto 170290: Neuanlage prüfen).</t>
  </si>
  <si>
    <t>2043030</t>
  </si>
  <si>
    <t>E. Verbindlichkeiten &gt; 2. Verbindlichkeiten gegenüber weiteren Darlehensgebern</t>
  </si>
  <si>
    <t>2044010</t>
  </si>
  <si>
    <t>E. Verbindlichkeiten &gt; 3. Verbindlichkeiten aus Lieferungen und Leistungen</t>
  </si>
  <si>
    <t>Accounts Payable (FPA1/056)</t>
  </si>
  <si>
    <t>Das WE/RE-Konto 21120000 ist in FPA1 keiner Position zugeordnet; laut Entscheidung vom 02.10.2026 wird es in der kundeneigenen Bilanzstruktur hier zugeordnet (Konto 300009).</t>
  </si>
  <si>
    <t>2045030</t>
  </si>
  <si>
    <t>E. Verbindlichkeiten &gt; 4. Verbindlichkeiten gegenüber Gesellschaftern (Restlaufzeit &gt; 5 Jahre)</t>
  </si>
  <si>
    <t>2046010/02</t>
  </si>
  <si>
    <t>E. Verbindlichkeiten &gt; 5. Verbindlichkeiten gegenüber verbundenen Unternehmen (saldiert: FD Security)</t>
  </si>
  <si>
    <t>2047010</t>
  </si>
  <si>
    <t>E. Verbindlichkeiten &gt; 6. Verbindlichkeiten gegenüber Unternehmen mit Beteiligungsverhältnis</t>
  </si>
  <si>
    <t>Other Payable (FPA1/057)</t>
  </si>
  <si>
    <t>Im SAP-Standard keine eigene Position; nächstliegend Other Payable (Konto 182019: Neuanlage prüfen).</t>
  </si>
  <si>
    <t>2048011</t>
  </si>
  <si>
    <t>E. Verbindlichkeiten &gt; 7. Sonstige Verbindlichkeiten &gt; aus Steuern</t>
  </si>
  <si>
    <t>Der SAP-Standard führt sonstige Verbindlichkeiten einschließlich Steuer- und Sozialversicherungsverbindlichkeiten in Other Payable.</t>
  </si>
  <si>
    <t>2048038</t>
  </si>
  <si>
    <t>E. Verbindlichkeiten &gt; 7. Sonstige Verbindlichkeiten &gt; aus Steuern (Steuerverrechnung Zoll/Stromsteuer, saldoabhängig)</t>
  </si>
  <si>
    <t>2048021</t>
  </si>
  <si>
    <t>E. Verbindlichkeiten &gt; 7. Sonstige Verbindlichkeiten &gt; im Rahmen der sozialen Sicherheit</t>
  </si>
  <si>
    <t>2048031</t>
  </si>
  <si>
    <t>E. Verbindlichkeiten &gt; 7. Sonstige Verbindlichkeiten &gt; andere sonstige Verbindlichkeiten (Kautionen, Airlines u. a.)</t>
  </si>
  <si>
    <t>2048032</t>
  </si>
  <si>
    <t>E. Verbindlichkeiten &gt; 7. Sonstige Verbindlichkeiten &gt; andere sonstige Verbindlichkeiten (übrige, Verrechnungskonten)</t>
  </si>
  <si>
    <t>Der SAP-Standard führt sonstige Verbindlichkeiten in Other Payable. Konto 195024 steht saldoabhängig auch in den sonstigen Vermögensgegenständen.</t>
  </si>
  <si>
    <t>2048033</t>
  </si>
  <si>
    <t>E. Verbindlichkeiten &gt; 7. Sonstige Verbindlichkeiten &gt; aus sonstigen Darlehen</t>
  </si>
  <si>
    <t>2050000</t>
  </si>
  <si>
    <t>F. Rechnungsabgrenzungsposten</t>
  </si>
  <si>
    <t>Deferred Income liegt im SAP-Standard in Other Payable.</t>
  </si>
  <si>
    <t>GuV</t>
  </si>
  <si>
    <t>3011011/00</t>
  </si>
  <si>
    <t>Gross Revenue (FPA1/022); Sales Deductions (FPA1/023)</t>
  </si>
  <si>
    <t>Umsatzerlöse nach HGB entsprechen Net Revenue (Gross Revenue abzüglich Sales Deductions); die Erlösgruppen des Kunden kennt der SAP-Standard nicht. Die Erlöskonten werden neu angelegt und Gross Revenue zugeordnet (Blatt Neuanlagen).</t>
  </si>
  <si>
    <t>3011011/01</t>
  </si>
  <si>
    <t>3011011/02</t>
  </si>
  <si>
    <t>3011015</t>
  </si>
  <si>
    <t>3011021</t>
  </si>
  <si>
    <t>3011022</t>
  </si>
  <si>
    <t>3011040</t>
  </si>
  <si>
    <t>3011050</t>
  </si>
  <si>
    <t>3011060</t>
  </si>
  <si>
    <t>3011070/00</t>
  </si>
  <si>
    <t>3012000</t>
  </si>
  <si>
    <t>1. Umsatzerlöse &gt; Erlösschmälerungen</t>
  </si>
  <si>
    <t>Sales Deductions (FPA1/023)</t>
  </si>
  <si>
    <t>Erlösschmälerungen entsprechen Sales Deductions.</t>
  </si>
  <si>
    <t>3030000</t>
  </si>
  <si>
    <t>Im SAP-Standard keine entsprechende Position; Konto 870000 wird neu angelegt und erhält in der kundeneigenen Bilanzstruktur eine eigene GuV-Zeile (Blatt Neuanlagen).</t>
  </si>
  <si>
    <t>3041000</t>
  </si>
  <si>
    <t>3. Sonstige betriebliche Erträge &gt; Auflösung Sonderposten</t>
  </si>
  <si>
    <t>Other Operating Revenue (FPA1/019)</t>
  </si>
  <si>
    <t>Sonstige betriebliche Erträge entsprechen Other Operating Revenue (Kursgewinne: Foreign Currency Income).</t>
  </si>
  <si>
    <t>3042010</t>
  </si>
  <si>
    <t>3. Sonstige betriebliche Erträge &gt; übrige (periodenfremd, abgeschriebene Forderungen)</t>
  </si>
  <si>
    <t>3042000/00</t>
  </si>
  <si>
    <t>3. Sonstige betriebliche Erträge &gt; übrige</t>
  </si>
  <si>
    <t>Other Operating Revenue (FPA1/019); Foreign Currency Income (FPA1/010)</t>
  </si>
  <si>
    <t>Sonstige betriebliche Erträge entsprechen Other Operating Revenue (Kursgewinne: Foreign Currency Income). 70020000/70030000 (Anlagenabgang) und 71010200 (Zuschreibungen) sind in FPA1 nicht zugeordnet; laut Entscheidung vom 02.10.2026 werden sie in der kundeneigenen Bilanzstruktur hier zugeordnet.</t>
  </si>
  <si>
    <t>3051010</t>
  </si>
  <si>
    <t>4a. Materialaufwand &gt; Roh-, Hilfs- und Betriebsstoffe (Materialverbrauch)</t>
  </si>
  <si>
    <t>Material Expense (FPA1/070)</t>
  </si>
  <si>
    <t>Erträge aus Preis-, Inventur- und Umbewertungsdifferenzen saldiert der Kunde im Materialaufwand; im SAP-Standard stehen sie in Other Operating Revenue (betroffene Konten: manuell klären).</t>
  </si>
  <si>
    <t>3051020</t>
  </si>
  <si>
    <t>4a. Materialaufwand &gt; Roh-, Hilfs- und Betriebsstoffe (Energie und Medien)</t>
  </si>
  <si>
    <t>Utilities Expense (FPA1/029); Material Expense (FPA1/070)</t>
  </si>
  <si>
    <t>Energie und Medien führt der SAP-Standard unter Utilities Expense (Building Expense), der Kunde im Materialaufwand.</t>
  </si>
  <si>
    <t>3052010</t>
  </si>
  <si>
    <t>4b. Materialaufwand &gt; Bezogene Leistungen (Fremdleistungen)</t>
  </si>
  <si>
    <t>Third Party Expense (FPA1/073)</t>
  </si>
  <si>
    <t>Bezogene Leistungen entsprechen Third Party Expense.</t>
  </si>
  <si>
    <t>3052050</t>
  </si>
  <si>
    <t>4b. Materialaufwand &gt; Bezogene Leistungen (Pacht Grund und Boden)</t>
  </si>
  <si>
    <t>Third Party Expense (FPA1/073); Periodic Building Expense (FPA1/028)</t>
  </si>
  <si>
    <t>Mieten, Pachten und Leasing führt der SAP-Standard unter Periodic Building Expense.</t>
  </si>
  <si>
    <t>3052060</t>
  </si>
  <si>
    <t>4b. Materialaufwand &gt; Bezogene Leistungen (Mieten unbewegliche WG)</t>
  </si>
  <si>
    <t>3052070</t>
  </si>
  <si>
    <t>4b. Materialaufwand &gt; Bezogene Leistungen (Leasing technische Anlagen)</t>
  </si>
  <si>
    <t>3061010</t>
  </si>
  <si>
    <t>5a. Personalaufwand &gt; Löhne und Gehälter (Budget)</t>
  </si>
  <si>
    <t>Payroll Salary &amp; Wages (FPA1/038); Payroll Bonus &amp; Commissions (FPA1/040); Payroll Overtime (FPA1/041); Payroll Other (FPA1/043)</t>
  </si>
  <si>
    <t>Löhne und Gehälter verteilen sich im SAP-Standard auf Payroll Salary &amp; Wages, Bonus &amp; Commissions, Overtime und Other.</t>
  </si>
  <si>
    <t>3061020</t>
  </si>
  <si>
    <t>5a. Personalaufwand &gt; Löhne und Gehälter (Nicht-Budget)</t>
  </si>
  <si>
    <t>3062010</t>
  </si>
  <si>
    <t>5b. Personalaufwand &gt; Soziale Abgaben</t>
  </si>
  <si>
    <t>Payroll Benefits (FPA1/039); Payroll Taxes (FPA1/042)</t>
  </si>
  <si>
    <t>Arbeitgeberanteile zur Sozialversicherung in Payroll Taxes, Berufsgenossenschaft in Payroll Benefits.</t>
  </si>
  <si>
    <t>3062020</t>
  </si>
  <si>
    <t>5b. Personalaufwand &gt; Aufwendungen für Altersversorgung</t>
  </si>
  <si>
    <t>Payroll Benefits (FPA1/039)</t>
  </si>
  <si>
    <t>Altersversorgung entspricht Payroll Benefits.</t>
  </si>
  <si>
    <t>3062030</t>
  </si>
  <si>
    <t>5b. Personalaufwand &gt; Aufwendungen für Unterstützung</t>
  </si>
  <si>
    <t>Unterstützung entspricht Payroll Benefits.</t>
  </si>
  <si>
    <t>3071010</t>
  </si>
  <si>
    <t>6. Abschreibungen &gt; auf immaterielle Vermögensgegenstände</t>
  </si>
  <si>
    <t>Amortization (FPA1/024)</t>
  </si>
  <si>
    <t>Entspricht Amortization.</t>
  </si>
  <si>
    <t>3072000/00</t>
  </si>
  <si>
    <t>6. Abschreibungen &gt; auf Sachanlagen</t>
  </si>
  <si>
    <t>Depreciation (FPA1/031)</t>
  </si>
  <si>
    <t>Entspricht Depreciation; im SAP-Standard je Anlagenklasse ein eigenes Konto.</t>
  </si>
  <si>
    <t>3082010/00</t>
  </si>
  <si>
    <t>7. Sonstige betriebliche Aufwendungen &gt; übrige (Anlagenabgang, Wertberichtigungen, Forderungsverluste, Spenden, periodenfremd)</t>
  </si>
  <si>
    <t>Other Operating Expense (FPA1/076); Foreign Currency Expense (FPA1/035)</t>
  </si>
  <si>
    <t>Die HGB-Position sonstige betriebliche Aufwendungen ist im SAP-Standard nach Kostenarten auf mehrere Positionen verteilt. Kursverluste weist der SAP-Standard in Foreign Currency Expense aus.</t>
  </si>
  <si>
    <t>3082020</t>
  </si>
  <si>
    <t>7. Sonstige betriebliche Aufwendungen &gt; Weiterberechnungen</t>
  </si>
  <si>
    <t>Third Party Expense (FPA1/073); Other Operating Expense (FPA1/076)</t>
  </si>
  <si>
    <t>Die HGB-Position sonstige betriebliche Aufwendungen ist im SAP-Standard nach Kostenarten auf mehrere Positionen verteilt.</t>
  </si>
  <si>
    <t>3082031</t>
  </si>
  <si>
    <t>7. Sonstige betriebliche Aufwendungen &gt; Öffentlichkeitsarbeit, Geschenke, Bewirtung</t>
  </si>
  <si>
    <t>Travel Expense (FPA1/033); Other Operating Expense (FPA1/076)</t>
  </si>
  <si>
    <t>3082032</t>
  </si>
  <si>
    <t>7. Sonstige betriebliche Aufwendungen &gt; Prüfungs-, Beratungs- und Rechtskosten</t>
  </si>
  <si>
    <t>Office Expense (FPA1/027); Third Party Expense (FPA1/073)</t>
  </si>
  <si>
    <t>3082033</t>
  </si>
  <si>
    <t>7. Sonstige betriebliche Aufwendungen &gt; Aufsichtsrat</t>
  </si>
  <si>
    <t>Office Expense (FPA1/027); Other Operating Expense (FPA1/076)</t>
  </si>
  <si>
    <t>3082034</t>
  </si>
  <si>
    <t>7. Sonstige betriebliche Aufwendungen &gt; Personalnebenkosten</t>
  </si>
  <si>
    <t>Payroll Other (FPA1/043); Travel Expense (FPA1/033); Employee Expense Other (FPA1/034)</t>
  </si>
  <si>
    <t>3082035</t>
  </si>
  <si>
    <t>7. Sonstige betriebliche Aufwendungen &gt; EDV/IT</t>
  </si>
  <si>
    <t>Office Expense (FPA1/027); Third Party Expense (FPA1/073); Periodic Building Expense (FPA1/028)</t>
  </si>
  <si>
    <t>3082036</t>
  </si>
  <si>
    <t>7. Sonstige betriebliche Aufwendungen &gt; Versicherungen</t>
  </si>
  <si>
    <t>Periodic Building Expense (FPA1/028); Other Operating Expense (FPA1/076)</t>
  </si>
  <si>
    <t>3082037</t>
  </si>
  <si>
    <t>7. Sonstige betriebliche Aufwendungen &gt; Konzern</t>
  </si>
  <si>
    <t>Other Operating Expense (FPA1/076)</t>
  </si>
  <si>
    <t>3082039</t>
  </si>
  <si>
    <t>7. Sonstige betriebliche Aufwendungen &gt; Fremdleistungen, Beiträge, Reisekosten, Mieten, Leasing, Übrige</t>
  </si>
  <si>
    <t>Office Expense (FPA1/027); Travel Expense (FPA1/033); Employee Expense Other (FPA1/034); Third Party Expense (FPA1/073); Periodic Building Expense (FPA1/028); Other Operating Expense (FPA1/076); Non-Operating Expense (FPA1/037)</t>
  </si>
  <si>
    <t>Die HGB-Position sonstige betriebliche Aufwendungen ist im SAP-Standard nach Kostenarten auf mehrere Positionen verteilt. Bankgebühren weist der SAP-Standard in Non-Operating Expense aus.</t>
  </si>
  <si>
    <t>3082030/00</t>
  </si>
  <si>
    <t>7. Sonstige betriebliche Aufwendungen &gt; Büro und Kommunikation</t>
  </si>
  <si>
    <t>Office Expense (FPA1/027)</t>
  </si>
  <si>
    <t>4011020</t>
  </si>
  <si>
    <t>8. Erträge aus Beteiligungen</t>
  </si>
  <si>
    <t>Non-Operating Revenue (FPA1/036)</t>
  </si>
  <si>
    <t>Entspricht Non-Operating Revenue (Gain from Long Term Investment).</t>
  </si>
  <si>
    <t>4012000</t>
  </si>
  <si>
    <t>9. Erträge aus Gewinnabführungsverträgen</t>
  </si>
  <si>
    <t>4013010</t>
  </si>
  <si>
    <t>10. Erträge aus Ausleihungen des Finanzanlagevermögens</t>
  </si>
  <si>
    <t>Non-Operating Revenue (FPA1/036); Interest Income (FPA1/068)</t>
  </si>
  <si>
    <t>Eigene GuV-Zeile nach HGB; im SAP-Standard je nach Konto Non-Operating Revenue oder Interest Income.</t>
  </si>
  <si>
    <t>4014020</t>
  </si>
  <si>
    <t>11. Sonstige Zinsen und ähnliche Erträge (Zinserträge)</t>
  </si>
  <si>
    <t>Interest Income (FPA1/068)</t>
  </si>
  <si>
    <t>Entspricht Interest Income.</t>
  </si>
  <si>
    <t>4014040</t>
  </si>
  <si>
    <t>11. Sonstige Zinsen und ähnliche Erträge (Verzugszinsen)</t>
  </si>
  <si>
    <t>4014050</t>
  </si>
  <si>
    <t>11. Sonstige Zinsen und ähnliche Erträge (Auf-/Abzinsung)</t>
  </si>
  <si>
    <t>4015000</t>
  </si>
  <si>
    <t>12. Aufwendungen aus Verlustübernahme</t>
  </si>
  <si>
    <t>4017020</t>
  </si>
  <si>
    <t>13. Zinsen und ähnliche Aufwendungen (langfristige Darlehen)</t>
  </si>
  <si>
    <t>Interest Expense (FPA1/069)</t>
  </si>
  <si>
    <t>Entspricht Interest Expense.</t>
  </si>
  <si>
    <t>4017030</t>
  </si>
  <si>
    <t>13. Zinsen und ähnliche Aufwendungen (Gesellschafterdarlehen, Kautionen)</t>
  </si>
  <si>
    <t>4017050</t>
  </si>
  <si>
    <t>13. Zinsen und ähnliche Aufwendungen (sonstige Zinsen, Kreditprovisionen)</t>
  </si>
  <si>
    <t>4017060</t>
  </si>
  <si>
    <t>13. Zinsen und ähnliche Aufwendungen (Avalprovisionen)</t>
  </si>
  <si>
    <t>4017080</t>
  </si>
  <si>
    <t>13. Zinsen und ähnliche Aufwendungen (Kreditprovisionen Schuldschein/RCF)</t>
  </si>
  <si>
    <t>4017090</t>
  </si>
  <si>
    <t>13. Zinsen und ähnliche Aufwendungen (Zinsswaps)</t>
  </si>
  <si>
    <t>5010000</t>
  </si>
  <si>
    <t>14. Steuern vom Einkommen und vom Ertrag</t>
  </si>
  <si>
    <t>Taxes (FPA1/09)</t>
  </si>
  <si>
    <t>Der SAP-Standard führt Ertragsteuern und sonstige Steuern gemeinsam in Taxes.</t>
  </si>
  <si>
    <t>6010000</t>
  </si>
  <si>
    <t>16. Sonstige Steuern</t>
  </si>
  <si>
    <t>Außerhalb GuV</t>
  </si>
  <si>
    <t>9020000</t>
  </si>
  <si>
    <t>Verrechnung kalkulatorische Kosten (Saldo null)</t>
  </si>
  <si>
    <t>Not assigned (FPA1/00NOTASSGND)</t>
  </si>
  <si>
    <t>Kalkulatorische Konten stehen beim Kunden außerhalb der GuV (Saldo null) und im SAP-Standard außerhalb der Bilanzstruktur (Not assigned).</t>
  </si>
  <si>
    <t>Summe (Konten mit zwei Positionen zählen doppelt)</t>
  </si>
  <si>
    <t>Neue YCOA-Zielkonten und Anzahl der zugeordneten Kundenkonten (n:1)</t>
  </si>
  <si>
    <t>Anzahl als Formel auf das Blatt Mapping (Spalte Neues YCOA-Konto); enthält auch vorläufige Vorschläge der Fälle mit Status manuell klären. Jedes Zielkonto bedient genau eine Bilanz-/GuV-Zeile des Kunden (letzte Spalte).</t>
  </si>
  <si>
    <t>YCOA-Konto</t>
  </si>
  <si>
    <t>Bezeichnung</t>
  </si>
  <si>
    <t>Bilanzposition [Y]</t>
  </si>
  <si>
    <t>Hinweis zur verlorenen Differenzierung</t>
  </si>
  <si>
    <t>Bilanz-/GuV-Zeile Kunde (aus in [Z] validierten Zuordnungen)</t>
  </si>
  <si>
    <t>Rückstellungsarten nicht mehr trennbar (Rückstellungsspiegel) – eigene Konten je wesentlicher Rückstellungsart prüfen.</t>
  </si>
  <si>
    <t>Passiva D.3 Sonstige Rückstellungen</t>
  </si>
  <si>
    <t>Werkstatt/Materialart nicht mehr auf Kontenebene; auswertbar über Bewertungsklasse, Warengruppe oder Lagerort.</t>
  </si>
  <si>
    <t>Aktiva B.I.1 Roh-, Hilfs- und Betriebsstoffe</t>
  </si>
  <si>
    <t>Werkstatt/Materialart nicht mehr auf Kontenebene; auswertbar über Kostenstelle, Warengruppe oder Bewertungsklasse.</t>
  </si>
  <si>
    <t>GuV 4a Roh-, Hilfs- und Betriebsstoffe</t>
  </si>
  <si>
    <t>Kein Informationsverlust: Bankabstimmkonto, einzelne Bankkonten über Hausbank/Konto-ID.</t>
  </si>
  <si>
    <t>Aktiva B.III Flüssige Mittel</t>
  </si>
  <si>
    <t>Bezogene Leistungen des Materialaufwands (GuV 4b): Leistungsarten (Instandhaltung, Reinigung, Bodenverkehrsdienste, Sicherheit) nicht mehr trennbar – für wesentliche Leistungsarten eigene Konten prüfen.</t>
  </si>
  <si>
    <t>GuV 4b Bezogene Leistungen</t>
  </si>
  <si>
    <t>Sammelkonto sonstige betriebliche Aufwendungen – eigene Konten prüfen, soweit für Anhang, Steuer oder Abstimmung erforderlich (z. B. Weiterberechnungen, periodenfremd, Säumniszuschläge).</t>
  </si>
  <si>
    <t>GuV 7 Sonstige betriebliche Aufwendungen</t>
  </si>
  <si>
    <t>Bezogene Dienstleistungen der sonstigen betrieblichen Aufwendungen (GuV 7), darunter IT-Leistungen SITA mit rund 21 Mio. EUR – eigene Konten prüfen; das Konto dient im Standard der Buchung von Dienstleistungsprodukten.</t>
  </si>
  <si>
    <t>Zinsaufwand nach Darlehensart nicht mehr trennbar; Gesellschafterzinsen und Auf-/Abzinsung sind gesondert relevant.</t>
  </si>
  <si>
    <t>GuV 13 Zinsen und ähnliche Aufwendungen</t>
  </si>
  <si>
    <t>Kalkulatorische Abschreibung nach Anlagengruppe nicht mehr trennbar (Entgeltkalkulation); über Anlagenklasse auswertbar.</t>
  </si>
  <si>
    <t>Sammelkonto sonstige Verbindlichkeiten (Kautionen, Airlines, Fundsachen, Verrechnungskonten) – eigene Konten prüfen.</t>
  </si>
  <si>
    <t>Passiva E.7 Sonstige Verbindlichkeiten</t>
  </si>
  <si>
    <t>Sammelkonto sonstige betriebliche Erträge – periodenfremde Erträge und steuerlich relevante Sachverhalte gesondert prüfen.</t>
  </si>
  <si>
    <t>GuV 3 Sonstige betriebliche Erträge</t>
  </si>
  <si>
    <t>Kalkulatorische Zinsen nach Anlagengruppe nicht mehr trennbar (Entgeltkalkulation); über Anlagenklasse auswertbar.</t>
  </si>
  <si>
    <t>Einheitliches Zielkonto der Verrechnungskonten der FDG mit verbundenen Unternehmen: Cash-Pooling, Verrechnung und Ergebnisabführung nicht mehr trennbar – eigene Konten prüfen; Habensalden über 21303000, Gesellschaft über Partnergesellschaft.</t>
  </si>
  <si>
    <t>Aktiva B.II.2 / Passiva E.5 verbundene Unternehmen (saldiert)</t>
  </si>
  <si>
    <t>Personalnebenkosten nach Art nicht mehr trennbar (lohnsteuerliche Behandlung beachten).</t>
  </si>
  <si>
    <t>Altersteilzeit, Abfindungen, pauschale Lohnsteuer und Rückstellungsbewegungen nicht mehr trennbar – eigene Konten prüfen.</t>
  </si>
  <si>
    <t>GuV 5a Löhne und Gehälter</t>
  </si>
  <si>
    <t>Energiearten, Netzentgelte und Umlagen nicht mehr trennbar (Weiterberechnung, Strom-/Energiesteuer) – eigene Konten prüfen.</t>
  </si>
  <si>
    <t>Kartenverrechnung je Verkaufsstelle/Acquirer nicht mehr trennbar (Abstimmung der Kartenabrechnungen); 158011 und 158022 nur vorläufig zugeordnet.</t>
  </si>
  <si>
    <t>Aktiva B.II.1 Forderungen aus L&amp;L</t>
  </si>
  <si>
    <t>Zusatzversorgung, Pensionsaufwand und Insolvenzsicherung nicht mehr trennbar; Mitarbeitergruppen über Personalabrechnung.</t>
  </si>
  <si>
    <t>GuV 5b Soziale Abgaben, Altersversorgung, Unterstützung</t>
  </si>
  <si>
    <t>Leasing- und Mietaufwendungen der sonstigen betrieblichen Aufwendungen (Fahrzeuge, EDV, bewegliche WG, Gebäudemiete 690000) nicht mehr trennbar – eigenes Mietkonto prüfen.</t>
  </si>
  <si>
    <t>Sammelkonto sonstige Forderungen und Verrechnungskonten der sonstigen Vermögensgegenstände.</t>
  </si>
  <si>
    <t>Aktiva B.II.4 Sonstige Vermögensgegenstände</t>
  </si>
  <si>
    <t>Mitarbeitergruppen nicht mehr auf Kontenebene; über Personalabrechnung auswertbar.</t>
  </si>
  <si>
    <t>Versicherungssparten nicht mehr trennbar.</t>
  </si>
  <si>
    <t>Zinserträge nach Art nicht mehr trennbar (§ 233a AO, Verzugszinsen, Abzinsung).</t>
  </si>
  <si>
    <t>GuV 11 Sonstige Zinsen und ähnliche Erträge</t>
  </si>
  <si>
    <t>Gesellschaft über Partnergesellschaft/Debitor.</t>
  </si>
  <si>
    <t>Gesellschaft über Partnergesellschaft.</t>
  </si>
  <si>
    <t>Aktiva A.III.1 Anteile an verbundenen Unternehmen</t>
  </si>
  <si>
    <t>Gesellschaft über Partnergesellschaft/Kreditor.</t>
  </si>
  <si>
    <t>Je Kassenbuch ist ein eigenes Sachkonto üblich – weitere Kassenkonten prüfen.</t>
  </si>
  <si>
    <t>Vorschüsse und Abschläge nicht mehr getrennt.</t>
  </si>
  <si>
    <t>Einzelne Beteiligungen über Partnergesellschaft bzw. Anlagenbuchhaltung.</t>
  </si>
  <si>
    <t>Aktiva A.III.2 Beteiligungen</t>
  </si>
  <si>
    <t>Darlehensarten nicht mehr trennbar; Fristigkeit über Restlaufzeitenkonten 29130000/29131000.</t>
  </si>
  <si>
    <t>Passiva E.1 Verbindlichkeiten gegenüber Kreditinstituten</t>
  </si>
  <si>
    <t>Telefon, Telekommunikation, Funk und Rundfunkbeitrag nicht mehr trennbar.</t>
  </si>
  <si>
    <t>Laufende Kfz-Kosten, Unfallschäden und Pauschalen nicht mehr trennbar.</t>
  </si>
  <si>
    <t>Prüfungs-, Beratungs- und Rechtskosten nicht getrennt (Abschlussprüferhonorar § 285 Nr. 17 HGB).</t>
  </si>
  <si>
    <t>Grundstücke und Erbbaurechte nicht mehr auf Kontenebene getrennt; über Anlagenklasse auswertbar.</t>
  </si>
  <si>
    <t>Aktiva A.II.1 Grundstücke und Bauten</t>
  </si>
  <si>
    <t>Spiegelkonten der Tochtergesellschaften gegenüber FDG (nicht in [Z]); Sollsalden über 12303000.</t>
  </si>
  <si>
    <t>– (nur Konten ohne [Z] bzw. vorläufig)</t>
  </si>
  <si>
    <t>Ausstehende Rechnungen Anlagevermögen und Schätzkosten nicht mehr getrennt.</t>
  </si>
  <si>
    <t>Zweckbestimmung der Rücklagen (Ausschüttungssperre) nicht mehr trennbar.</t>
  </si>
  <si>
    <t>Passiva A.III Gewinnrücklagen</t>
  </si>
  <si>
    <t>Stammstellen, Aushilfen und Auszubildende nicht mehr auf Kontenebene; über Personalabrechnung auswertbar.</t>
  </si>
  <si>
    <t>Mieten und Pachten des Materialaufwands (GuV 4b): Geländepacht und Gebäudemiete nicht mehr trennbar – eigenes Pachtkonto prüfen.</t>
  </si>
  <si>
    <t>Gegenkonten der kalkulatorischen Abschreibung; Rolle von 780609/780611 klären.</t>
  </si>
  <si>
    <t>Passiva F. Rechnungsabgrenzungsposten</t>
  </si>
  <si>
    <t>Flughafenbauten und Wohnbauten nicht mehr auf Kontenebene getrennt; über Anlagenklasse auswertbar.</t>
  </si>
  <si>
    <t>Flughafenanlagen und Betriebsanlagen nicht mehr auf Kontenebene getrennt; über Anlagenklasse auswertbar.</t>
  </si>
  <si>
    <t>Aktiva A.II.2 Technische Anlagen und Maschinen</t>
  </si>
  <si>
    <t>Versorgungszusagen und Beihilfe nicht mehr getrennt.</t>
  </si>
  <si>
    <t>Passiva D.1 Pensionsrückstellungen</t>
  </si>
  <si>
    <t>Allgemeines Erlöskonto für Verkäufe und sonstige Lieferungen und Leistungen; spezifische Erlösarten werden neu angelegt (Blatt Neuanlagen).</t>
  </si>
  <si>
    <t>GuV 1 Umsatzerlöse</t>
  </si>
  <si>
    <t>Gebäudereinigung und Gebäudereparaturen der sonstigen betrieblichen Aufwendungen.</t>
  </si>
  <si>
    <t>GuV 8 Erträge aus Beteiligungen</t>
  </si>
  <si>
    <t>GuV 14 Steuern vom Einkommen und Ertrag</t>
  </si>
  <si>
    <t>GuV 16 Sonstige Steuern</t>
  </si>
  <si>
    <t>1:1-Zuordnung</t>
  </si>
  <si>
    <t>Aktiva C. Rechnungsabgrenzungsposten</t>
  </si>
  <si>
    <t>Aktiva A.III.4 Sonstige Ausleihungen</t>
  </si>
  <si>
    <t>Aktiva A.II.3 Betriebs- und Geschäftsausstattung</t>
  </si>
  <si>
    <t>Aktiva A.II.4 Anzahlungen und Anlagen im Bau</t>
  </si>
  <si>
    <t>Software kann je Anlagenklasse auf 16008000 geführt werden.</t>
  </si>
  <si>
    <t>Aktiva A.I.1 Immaterielle VG</t>
  </si>
  <si>
    <t>Passiva E.3 Verbindlichkeiten aus L&amp;L</t>
  </si>
  <si>
    <t>Passiva D.2 Steuerrückstellungen</t>
  </si>
  <si>
    <t>Passiva A.II Kapitalrücklage</t>
  </si>
  <si>
    <t>Passiva A.I Gezeichnetes Kapital</t>
  </si>
  <si>
    <t>Passiva A.IV Gewinn-/Verlustvortrag</t>
  </si>
  <si>
    <t>GuV 6 Abschreibungen</t>
  </si>
  <si>
    <t>Summe zugeordneter Kundenkonten</t>
  </si>
  <si>
    <t>Hinweise: Quellen, Vorgehen, Wertebereiche, Annahmen</t>
  </si>
  <si>
    <t>Quellen</t>
  </si>
  <si>
    <t>[X] Bisheriges Mapping</t>
  </si>
  <si>
    <t>DUS_YCOA_MappingOutcomeV3.xlsx, Blatt Mapping_Neu: 600 Kundenkonten mit bisherigem YCOA-Konto (417 MAPPED, 183 TBD). Reihenfolge der Zeilen im Blatt Mapping wie in [X].</t>
  </si>
  <si>
    <t>[Y] SAP-Standardbilanz</t>
  </si>
  <si>
    <t>20261002-065925_2CCFIFINSTMTCMP.xlsx: Bilanz/GuV-Struktur FPA1 (SAP Best Practices Financial Stmt for FP&amp;A), Buchungskreis 10DU, inkl. Konten ohne Saldo: 684 YCOA-Konten in 76 Strukturknoten, davon ein großer Block Not assigned (in FPA1 keiner Position zugeordnet). Kontonummer = Stellen 7–14 des Schlüssels YCOA00xxxxxxxx0A.</t>
  </si>
  <si>
    <t>[Z] Bilanz/GuV des Kunden</t>
  </si>
  <si>
    <t>1000 FDG Bilanz und GuV 2025 15.01.2026 mit Verkn..xlsx, Blatt SAP-Auszug: 533 Kundenkonten mit Bilanz- oder GuV-Position; 67 Konten aus [X] fehlen dort. Da [Z] und [Y] auch die GuV enthalten, wurde die Positionsprüfung auf GuV-Konten ausgedehnt.</t>
  </si>
  <si>
    <t>Vorgehen je Kundenkonto</t>
  </si>
  <si>
    <t>1. Bezeichnungsprüfung</t>
  </si>
  <si>
    <t>Vergleich Kundenkonto ↔ bisheriges YCOA-Konto nach Kontoart, Sachverhalt, Fristigkeit und Steuerbezug. Spalte G: OK / Abweichung; kein Mapping (TBD), wenn [X] kein Zielkonto enthielt.</t>
  </si>
  <si>
    <t>2. Bilanzprüfung</t>
  </si>
  <si>
    <t>Nur für Konten in [Z]: Position des Kundenkontos aus [Z], Position des YCOA-Kontos aus [Y]; positionsgleich ist ein YCOA-Konto, wenn seine FPA1-Position laut Blatt Positionszuordnung zur Kundenposition gehört. Spalte H: OK / Abweichung; Abweichung auch dann, wenn das bisherige Zielkonto in [Y] fehlt oder Not assigned ist (Ausnahmen: kalkulatorische Konten, siehe unten, und die per Entscheidung in der kundeneigenen Bilanzstruktur zugeordneten Standardkonten 21120000, 70020000, 70030000, 71010200). kein Mapping (TBD), wenn kein Zielkonto vorlag.</t>
  </si>
  <si>
    <t>3. Konten ohne Eintrag in [Z]</t>
  </si>
  <si>
    <t>Spalte E: nicht in [Z] enthalten – nicht bilanziell validiert; Spalte H: nicht prüfbar; Begründung beginnt mit Nicht bilanziell validiert. Zuordnung nur nach Bezeichnung und analog zu gleichartigen, validierten Konten.</t>
  </si>
  <si>
    <t>4. Ein YCOA-Konto je Kundenzeile</t>
  </si>
  <si>
    <t>Die SAP-Positionen in [Y] sind gröber als die Zeilen der Kundenbilanz/-GuV (z. B. liegen bezogene Leistungen des Materialaufwands und Fremdleistungen der sonstigen betrieblichen Aufwendungen beide in Third Party Expense). Damit Bilanz und GuV des Kunden aus den YCOA-Konten ableitbar bleiben, nimmt jedes neue Zielkonto nur Kundenkonten derselben Bilanz-/GuV-Zeile auf (Gliederungsebene der Blätter Bilanz und G+V in [Z]; programmatisch geprüft, Übersicht im Blatt Sammelkonten). Ein bisheriges Zielkonto, das nach dieser Regel einer anderen Kundenzeile gehört, gilt in Spalte H als Abweichung. Ausnahmen: saldierte Positionen verbundener Unternehmen und saldoabhängige Verrechnungskonten; Unterpositionen a) bis d) der Sachanlagen bleiben über die Anlagenklasse auswertbar.</t>
  </si>
  <si>
    <t>Status</t>
  </si>
  <si>
    <t>Bisheriges Zielkonto besteht beide Prüfungen (bzw. die Bezeichnungsprüfung bei Konten ohne [Z]) und wird bestätigt.</t>
  </si>
  <si>
    <t>Neues Zielkonto aus [Y], das fachlich passt und – bei Konten in [Z] – in der entsprechenden SAP-Position liegt und nur eine Kundenzeile bedient (beides programmatisch für alle Zeilen geprüft). Umfasst auch bisherige TBD-Fälle, die jetzt zugeordnet sind.</t>
  </si>
  <si>
    <t>Entscheidung des Auftraggebers vom 02.10.2026: das Konto wird neu angelegt (85 Erlöskonten der Klasse 8). Die Spalten Neues YCOA-Konto und Bezeichnung neues YCOA zeigen per Formel den Vorschlag aus dem Blatt Neuanlagen; diese Konten existieren in YCOA noch nicht. Status außerhalb der ursprünglichen Werteliste, weil der Fall nicht mehr offen ist.</t>
  </si>
  <si>
    <t>Kein vorhandenes YCOA-Konto erfüllt beide Kriterien: entweder bildet kein Konto den Sachverhalt ab, oder es gibt nur ein generisches Sammelkonto, mit dem eine in der Kundenbilanz/-GuV eigens gegliederte oder gesetzlich gesondert auszuweisende Position verloren ginge. Kein Kontovorschlag; die Begründung nennt Kopiervorlage und Rückfalloption.</t>
  </si>
  <si>
    <t>Sachverhalt unklar oder Entscheidung zum Ausweis nötig: fachlich passendes Konto liegt in [Y] in anderer oder keiner Position, Konto ist saldoabhängig, 1:n-Aufteilung oder Inhalt nicht erkennbar. Ein vorläufiges Konto ist nur eingetragen, wo eines benennbar ist; es erfüllt die Positionsregel nicht in jedem Fall.</t>
  </si>
  <si>
    <t>Konfidenz</t>
  </si>
  <si>
    <t>Sicherheit der Aussage der Zeile (bei Neuanlage prüfen: Sicherheit, dass kein passendes Konto existiert). niedrig wird nur zusammen mit manuell klären vergeben.</t>
  </si>
  <si>
    <t>Entscheidungen des Auftraggebers vom 02.10.2026</t>
  </si>
  <si>
    <t>1. Erlöskonten</t>
  </si>
  <si>
    <t>Erlöskonten neu anlegen. Die 85 Konten der Klasse 8 ohne passendes YCOA-Konto (84 Umsatzerlöskonten und 870000 aktivierte Eigenleistungen) erhalten den Status Neuanlage. Das Blatt Neuanlagen enthält je Konto den Vorschlag für Nummer, Bezeichnung, Kopiervorlage und Position.</t>
  </si>
  <si>
    <t>2. Standardkonten ohne FPA1-Position</t>
  </si>
  <si>
    <t>In der kundeneigenen Bilanzstruktur zuordnen. 21120000 (WE/RE) wird den Verbindlichkeiten aus L&amp;L zugeordnet, 70020000/70030000 (Anlagenabgang) und 71010200 (Zuschreibungen) den sonstigen betrieblichen Erträgen. Die vier Kundenkonten 300009, 867000, 867001 und 202110 sind damit nicht mehr offen (zwei korrigiert, zwei unverändert).</t>
  </si>
  <si>
    <t>3. Zusatzregel ein YCOA-Konto je Kundenzeile</t>
  </si>
  <si>
    <t>Vorerst beibehalten. Keine Änderung: 65001000 bleibt den bezogenen Leistungen (GuV 4b) vorbehalten, Fremdleistungen der sonstigen betrieblichen Aufwendungen (GuV 7) laufen auf 65008300; entsprechend 63005000/63009000.</t>
  </si>
  <si>
    <t>Annahmen und Einschränkungen</t>
  </si>
  <si>
    <t>Verwendete YCOA-Konten</t>
  </si>
  <si>
    <t>Zielkonten mit Status unverändert und korrigiert stammen ausschließlich aus [Y]. Einzige Ausnahme bei den vorläufigen Vorschlägen: 21538000 Sonstige Steuer - zu zahlen (nur in [X]) bei 157300 und 174020, gekennzeichnet mit manuell klären. Für vorhandene Konten wurden keine Kontonummern erfunden.</t>
  </si>
  <si>
    <t>Nummern der Neuanlagen</t>
  </si>
  <si>
    <t>Die Kontonummern im Blatt Neuanlagen sind Vorschläge für noch anzulegende Konten: Präfix (Eingabezelle, Vorschlag 41) + sechsstelliges Kundenkonto. Sie sind gegen alle Konten aus [Y] und [X] geprüft (Blatt YCOA-Konten). [Y] zeigt nur den Buchungskreis 10DU; vor der Anlage ist im System gegen den gesamten Kontenplan YCOA zu prüfen. Kopiervorlage, Position und Erlösgruppe sind Vorschläge; Kontengruppe, Steuerkategorie und Kurztext sind bei der Anlage festzulegen.</t>
  </si>
  <si>
    <t>Kontenbezeichnungen</t>
  </si>
  <si>
    <t>Bezeichnung bisheriges YCOA wie in [X] (deutsch). Bezeichnung neues YCOA: deutscher Text aus [X], soweit dort vorhanden, sonst bzw. zusätzlich der englische Text aus [Y].</t>
  </si>
  <si>
    <t>Abweichung [X] ↔ [Y]</t>
  </si>
  <si>
    <t>20 in [X] verwendete YCOA-Konten fehlen in [Y] (12010000, 14102000, 19110000, 21460000, 21501100, 21501200, 21512000, 21538000, 21539106, 21540000, 21700000, 22006011, 22006012, 24098200, 41090010, 41090011, 44007000, 61022020, 64000000, 75004010). 12110000 ist in [X] als Forderungen Inland bezeichnet, laut [Y] aber Other Down Payments Made Current Assets.</t>
  </si>
  <si>
    <t>Anlagevermögen</t>
  </si>
  <si>
    <t>Der Kunde führt Anschaffungskosten und kumulierte Abschreibung auf einem Konto (Nettoausweis). In YCOA sind Bestands- und Wertberichtigungskonten getrennt und je Anlagenklasse differenziert; die Anlagenkonten sind daher ihrer Natur nach 1:n-Zuordnungen. Die Zeilen nennen das führende Bestandskonto, die Aufteilung (Wertberichtigung, weitere Anlagenklassen) erfolgt über die Kontenfindung der Anlagenbuchhaltung. Für die Abschreibungen auf Sachanlagen (220009) gibt es kein führendes Konto, daher manuell klären.</t>
  </si>
  <si>
    <t>Saldierter Ausweis</t>
  </si>
  <si>
    <t>Forderungen und Verbindlichkeiten gegenüber verbundenen Unternehmen saldiert der Kunde je Gesellschaft; einzelne Verrechnungskonten wechseln saldoabhängig die Bilanzseite (157300, 195024, 195500). Die Positionszuordnung lässt hierfür beide Seiten zu. Verrechnungskonten der FDG mit verbundenen Unternehmen (Verrechnung, Cash-Pooling, Ergebnisabführung) sind unabhängig vom aktuellen Saldo einheitlich 12303000 zugeordnet, die Spiegelkonten der Tochtergesellschaften 21303000; Salden der jeweils anderen Seite werden umgegliedert.</t>
  </si>
  <si>
    <t>Kalkulatorische Konten</t>
  </si>
  <si>
    <t>Position 9020000 des Kunden (Verrechnung kalkulatorischer Kosten, Saldo null) wird der SAP-Position Not assigned gleichgestellt, weil kalkulatorische Konten in beiden Strukturen außerhalb der Bilanz/GuV stehen.</t>
  </si>
  <si>
    <t>Nicht geprüft</t>
  </si>
  <si>
    <t>Salden wurden nicht abgestimmt; die Prüfung beruht auf Bezeichnungen und Positionen. Kontenfindung, Steuerkennzeichen und Buchungskreis-Einstellungen der YCOA-Konten waren nicht Gegenstand. Hinweise auf HGB- und Steuervorschriften dienen der Einordnung der verlorenen Differenzierung und ersetzen keine fachliche Abstimmung mit Kunde und Abschlussprüfer.</t>
  </si>
  <si>
    <t>YCOA-Konten laut [Y] (Buchungskreis 10DU, Bilanzstruktur FPA1) und zusätzlich nur in [X] genannte Konten</t>
  </si>
  <si>
    <t>Referenzliste und Grundlage der Nummernprüfung im Blatt Neuanlagen. Quelle [Y]: Konto im Buchungskreis 10DU vorhanden; nur [X]: im bisherigen Mapping verwendet, in [Y] nicht vorhanden.</t>
  </si>
  <si>
    <t>Bezeichnung (englisch, aus [Y])</t>
  </si>
  <si>
    <t>Bezeichnung (deutsch, aus [X], soweit dort verwendet)</t>
  </si>
  <si>
    <t>Position FPA1</t>
  </si>
  <si>
    <t>Quelle</t>
  </si>
  <si>
    <t>00700080</t>
  </si>
  <si>
    <t>GMV Miete (WACC)</t>
  </si>
  <si>
    <t>Not assigned</t>
  </si>
  <si>
    <t>[Y]</t>
  </si>
  <si>
    <t>00700511</t>
  </si>
  <si>
    <t>GMV Stellplätze</t>
  </si>
  <si>
    <t>10020000</t>
  </si>
  <si>
    <t>Petty Cash Journal - postings automatic only</t>
  </si>
  <si>
    <t>Main Bank Account (Cash/B)</t>
  </si>
  <si>
    <t>11001010</t>
  </si>
  <si>
    <t>Cash Payment (Cash/S)</t>
  </si>
  <si>
    <t>11001020</t>
  </si>
  <si>
    <t>Bank Transfer (Domestic/SEPA/Foreign) (Cash/S)</t>
  </si>
  <si>
    <t>Other Interim Transfers (Cash/S)</t>
  </si>
  <si>
    <t>11001040</t>
  </si>
  <si>
    <t>Direct Debit (C/S)</t>
  </si>
  <si>
    <t>11001045</t>
  </si>
  <si>
    <t>Returns (Cash/S)</t>
  </si>
  <si>
    <t>11001050</t>
  </si>
  <si>
    <t>Checks Out (C/S)</t>
  </si>
  <si>
    <t>11001060</t>
  </si>
  <si>
    <t>Checks In (C/S)</t>
  </si>
  <si>
    <t>11001070</t>
  </si>
  <si>
    <t>Check Clearing Account (Cash/S)</t>
  </si>
  <si>
    <t>11001080</t>
  </si>
  <si>
    <t>Cash Receipt (C/S)</t>
  </si>
  <si>
    <t>11001090</t>
  </si>
  <si>
    <t>Technical Account for Bank Statement (Cash/S)</t>
  </si>
  <si>
    <t>11008000</t>
  </si>
  <si>
    <t>Digital Payments Acquirer Bank (Cash/B)</t>
  </si>
  <si>
    <t>11008030</t>
  </si>
  <si>
    <t>Digital Payments Transfer Account (Cash/S)</t>
  </si>
  <si>
    <t>11008050</t>
  </si>
  <si>
    <t>DP Acquirer Clrng (Stlmnt) (Cash/S) pending</t>
  </si>
  <si>
    <t>11008070</t>
  </si>
  <si>
    <t>Digital Payments Acquirer Clrng (Stlmnt) (Cash/S)</t>
  </si>
  <si>
    <t>nur [X]</t>
  </si>
  <si>
    <t>12021000</t>
  </si>
  <si>
    <t>Short Term Investments, Unaffiliated(TRM)</t>
  </si>
  <si>
    <t>12021100</t>
  </si>
  <si>
    <t>Short Term Investments, Affili., No Consolid.(TRM)</t>
  </si>
  <si>
    <t>12021200</t>
  </si>
  <si>
    <t>Short Term Investments, Affiliated, Consolid.(TRM)</t>
  </si>
  <si>
    <t>12041000</t>
  </si>
  <si>
    <t>Derivatives Valuation Balances, Unaffiliated(TRM)</t>
  </si>
  <si>
    <t>12041100</t>
  </si>
  <si>
    <t>Derivatives Valuation Bal, Affil., No Consol.(TRM)</t>
  </si>
  <si>
    <t>12041200</t>
  </si>
  <si>
    <t>Derivatives Valuation Bal, Affili., Consolid.(TRM)</t>
  </si>
  <si>
    <t>12042000</t>
  </si>
  <si>
    <t>Derivatives Assets, Unaffiliated(TRM)</t>
  </si>
  <si>
    <t>12042100</t>
  </si>
  <si>
    <t>Derivatives Assets, Affiliated, No Consolid.(TRM)</t>
  </si>
  <si>
    <t>12042200</t>
  </si>
  <si>
    <t>Derivatives Assets, Affiliated, Consolidation(TRM)</t>
  </si>
  <si>
    <t>12100100</t>
  </si>
  <si>
    <t>Receivables Domestic - One Time Accounts</t>
  </si>
  <si>
    <t>12101000</t>
  </si>
  <si>
    <t>Receivables Domestic due &gt; 1 Year</t>
  </si>
  <si>
    <t>Other Down Payments Made Current Assets</t>
  </si>
  <si>
    <t>(in [X] abweichend als Forderungen Inland bezeichnet)</t>
  </si>
  <si>
    <t>12110100</t>
  </si>
  <si>
    <t>Down Payments Made due &gt; 1 Year</t>
  </si>
  <si>
    <t>12111000</t>
  </si>
  <si>
    <t>Input Tax Clrg-other Down Pyts Made for Curr. Asts</t>
  </si>
  <si>
    <t>12112000</t>
  </si>
  <si>
    <t>Down Payments made for Inventory</t>
  </si>
  <si>
    <t>12119000</t>
  </si>
  <si>
    <t>Down Payment Requests Vendors</t>
  </si>
  <si>
    <t>12119200</t>
  </si>
  <si>
    <t>Adjustment Account Vendor Down Payments</t>
  </si>
  <si>
    <t>12120000</t>
  </si>
  <si>
    <t>Receivables Foreign</t>
  </si>
  <si>
    <t>12120100</t>
  </si>
  <si>
    <t>Receivables Foreign - One Time Accounts</t>
  </si>
  <si>
    <t>12121000</t>
  </si>
  <si>
    <t>Receivables Foreign due &gt; 1 Year</t>
  </si>
  <si>
    <t>12122000</t>
  </si>
  <si>
    <t>Receivables Foreign Adjustments</t>
  </si>
  <si>
    <t>12301000</t>
  </si>
  <si>
    <t>Receivables affiliated Companies &gt; 1 Year</t>
  </si>
  <si>
    <t>12302000</t>
  </si>
  <si>
    <t>Receivables affiliated Companies Adjustments</t>
  </si>
  <si>
    <t>Allowance for Doubtful Receivables</t>
  </si>
  <si>
    <t>Individual Value Adjustments for Receivables</t>
  </si>
  <si>
    <t>Depreciation Receivables from Aff.Companies</t>
  </si>
  <si>
    <t>12410000</t>
  </si>
  <si>
    <t>Clearing of Guarantee Given (Customers)</t>
  </si>
  <si>
    <t>12411000</t>
  </si>
  <si>
    <t>Guarantees given to Customers</t>
  </si>
  <si>
    <t>12420000</t>
  </si>
  <si>
    <t>Security Deposit Customers</t>
  </si>
  <si>
    <t>Interest Receivables</t>
  </si>
  <si>
    <t>12501000</t>
  </si>
  <si>
    <t>Clearing Interest Receivables</t>
  </si>
  <si>
    <t>12510000</t>
  </si>
  <si>
    <t>Accounts Receivable - BoE Receivable</t>
  </si>
  <si>
    <t>Accounts Receivable - Payment Cards</t>
  </si>
  <si>
    <t>12540200</t>
  </si>
  <si>
    <t>Other Receivables Adjustments</t>
  </si>
  <si>
    <t>12543000</t>
  </si>
  <si>
    <t>Receivables from Partners (no recon acct)</t>
  </si>
  <si>
    <t>12549000</t>
  </si>
  <si>
    <t>Depreciation from other Receivables</t>
  </si>
  <si>
    <t>Prepaid Expenses</t>
  </si>
  <si>
    <t>12590000</t>
  </si>
  <si>
    <t>Vendors with a Debit Balance</t>
  </si>
  <si>
    <t>12600000</t>
  </si>
  <si>
    <t>Input Tax (VST)</t>
  </si>
  <si>
    <t>12605000</t>
  </si>
  <si>
    <t>Import Sales Tax paid (VST)</t>
  </si>
  <si>
    <t>12610000</t>
  </si>
  <si>
    <t>Input Tax</t>
  </si>
  <si>
    <t>12660000</t>
  </si>
  <si>
    <t>Reclaimable Tax for Interest Income(TRM)</t>
  </si>
  <si>
    <t>12701000</t>
  </si>
  <si>
    <t>Accr. Interest Inc./Defer. Int. Exp., Unaffi.(TRM)</t>
  </si>
  <si>
    <t>12701100</t>
  </si>
  <si>
    <t>Accr. Int. Inc./Defer. Int. Exp., Aff., NoCo.(TRM)</t>
  </si>
  <si>
    <t>12701200</t>
  </si>
  <si>
    <t>Accr. Int. Inc./Defer. Int. Exp., Affi., Con.(TRM)</t>
  </si>
  <si>
    <t>13200000</t>
  </si>
  <si>
    <t>Inventory - Work In Progress</t>
  </si>
  <si>
    <t>13210000</t>
  </si>
  <si>
    <t>WIP</t>
  </si>
  <si>
    <t>13300000</t>
  </si>
  <si>
    <t>Inventory - Semi Finished Goods</t>
  </si>
  <si>
    <t>13300900</t>
  </si>
  <si>
    <t>Inventory - Revaluation Semi Finished Goods</t>
  </si>
  <si>
    <t>13400000</t>
  </si>
  <si>
    <t>Inventory - Finished Goods</t>
  </si>
  <si>
    <t>13400900</t>
  </si>
  <si>
    <t>Inventory - Revaluation Finished Goods</t>
  </si>
  <si>
    <t>13500000</t>
  </si>
  <si>
    <t>Inventory - Packaging Materials</t>
  </si>
  <si>
    <t>13500900</t>
  </si>
  <si>
    <t>Inventory - Revaluation Packaging Materials</t>
  </si>
  <si>
    <t>13600000</t>
  </si>
  <si>
    <t>Inventory - Trading Goods</t>
  </si>
  <si>
    <t>13600900</t>
  </si>
  <si>
    <t>Inventory - Revaluation Trading Goods</t>
  </si>
  <si>
    <t>13601000</t>
  </si>
  <si>
    <t>Inventory Adjustment Account</t>
  </si>
  <si>
    <t>13701400</t>
  </si>
  <si>
    <t>WIP Deferred Revenue</t>
  </si>
  <si>
    <t>13711100</t>
  </si>
  <si>
    <t>WIP Accrued Revenue</t>
  </si>
  <si>
    <t>13711400</t>
  </si>
  <si>
    <t>WIP Accrued Revenue - Fixed Price</t>
  </si>
  <si>
    <t>13711900</t>
  </si>
  <si>
    <t>WIP Unbilled Revenue</t>
  </si>
  <si>
    <t>13715600</t>
  </si>
  <si>
    <t>WIP Accrued Revenue On Account Adjustment</t>
  </si>
  <si>
    <t>13811100</t>
  </si>
  <si>
    <t>Deferrals Revenue</t>
  </si>
  <si>
    <t>13815600</t>
  </si>
  <si>
    <t>Deferrals Revenue - On Account Adjustment</t>
  </si>
  <si>
    <t>Loans to Staff</t>
  </si>
  <si>
    <t>Salary and Wages Advances</t>
  </si>
  <si>
    <t>15300000</t>
  </si>
  <si>
    <t>Trip Costs in Advance</t>
  </si>
  <si>
    <t>Land &amp; Land Improvements</t>
  </si>
  <si>
    <t>Buildings</t>
  </si>
  <si>
    <t>16003000</t>
  </si>
  <si>
    <t>Building Improvements</t>
  </si>
  <si>
    <t>16004000</t>
  </si>
  <si>
    <t>Motor Vehicles</t>
  </si>
  <si>
    <t>Office Equipment</t>
  </si>
  <si>
    <t>16006000</t>
  </si>
  <si>
    <t>Furniture and Fixtures</t>
  </si>
  <si>
    <t>16007000</t>
  </si>
  <si>
    <t>Computer Hardware and Equipment</t>
  </si>
  <si>
    <t>16008000</t>
  </si>
  <si>
    <t>Computer Software</t>
  </si>
  <si>
    <t>Assets under Construction</t>
  </si>
  <si>
    <t>16010000</t>
  </si>
  <si>
    <t>Down Payments made on Tangible Assets w/o FI-AA</t>
  </si>
  <si>
    <t>16010500</t>
  </si>
  <si>
    <t>Input Tax Clearing Tangibles Down Payments made</t>
  </si>
  <si>
    <t>Capitalized Down Payments made on Fixed Assets</t>
  </si>
  <si>
    <t>16013000</t>
  </si>
  <si>
    <t>Clearing capitalized Down Payments on Fixed Assets</t>
  </si>
  <si>
    <t>16014000</t>
  </si>
  <si>
    <t>Technical Clrng Acct Integrated Asset Acquisition</t>
  </si>
  <si>
    <t>16014100</t>
  </si>
  <si>
    <t>Clearing Account for Asset Acquisition</t>
  </si>
  <si>
    <t>16015000</t>
  </si>
  <si>
    <t>Offsetting Account Revaluation APC</t>
  </si>
  <si>
    <t>Low Value Assets</t>
  </si>
  <si>
    <t>16050000</t>
  </si>
  <si>
    <t>Land &amp; Land Improvements (ROU)</t>
  </si>
  <si>
    <t>16051000</t>
  </si>
  <si>
    <t>Buildings (ROU)</t>
  </si>
  <si>
    <t>16052000</t>
  </si>
  <si>
    <t>Machinery &amp; Equipment (ROU)</t>
  </si>
  <si>
    <t>16054000</t>
  </si>
  <si>
    <t>Motor Vehicles (ROU)</t>
  </si>
  <si>
    <t>16055000</t>
  </si>
  <si>
    <t>Office Equipment (ROU)</t>
  </si>
  <si>
    <t>16056000</t>
  </si>
  <si>
    <t>Furniture and Fixtures (ROU)</t>
  </si>
  <si>
    <t>16057000</t>
  </si>
  <si>
    <t>Computer Hardware and Equipment (ROU)</t>
  </si>
  <si>
    <t>16059000</t>
  </si>
  <si>
    <t>Leasing Clearing Account</t>
  </si>
  <si>
    <t>Accumulated Depreciation - Land Improvements</t>
  </si>
  <si>
    <t>17001000</t>
  </si>
  <si>
    <t>Accumulated Depreciation - Buildings</t>
  </si>
  <si>
    <t>17002000</t>
  </si>
  <si>
    <t>Accumulated Depreciation - Machinery &amp; Equipment</t>
  </si>
  <si>
    <t>17003000</t>
  </si>
  <si>
    <t>Accumulated Depreciation - Building Improvements</t>
  </si>
  <si>
    <t>17004000</t>
  </si>
  <si>
    <t>Accumulated Depreciation - Motor Vehicles</t>
  </si>
  <si>
    <t>17005000</t>
  </si>
  <si>
    <t>Accumulated Depreciation - Office Equipment</t>
  </si>
  <si>
    <t>17006000</t>
  </si>
  <si>
    <t>Accumulated Depreciation - Furniture and Fixtures</t>
  </si>
  <si>
    <t>17007000</t>
  </si>
  <si>
    <t>Accumulated Depreciation - Computer Hardware</t>
  </si>
  <si>
    <t>17008000</t>
  </si>
  <si>
    <t>Accumulated Depreciation - Computer Software</t>
  </si>
  <si>
    <t>Assets &gt; Non-Current Assets &gt; Other Non-Current Assets &gt; Accumulated Amortization</t>
  </si>
  <si>
    <t>Accumul. Depreciation - Assets under Construction</t>
  </si>
  <si>
    <t>17020000</t>
  </si>
  <si>
    <t>Accumulated Depreciation - Low Value Assets</t>
  </si>
  <si>
    <t>17050000</t>
  </si>
  <si>
    <t>Accumulated Depreciation - Land Improvements (ROU)</t>
  </si>
  <si>
    <t>17051000</t>
  </si>
  <si>
    <t>Accumulated Depreciation - Buildings (ROU)</t>
  </si>
  <si>
    <t>17052000</t>
  </si>
  <si>
    <t>Accumulated Depr'n - Machinery &amp; Equipment (ROU)</t>
  </si>
  <si>
    <t>17054000</t>
  </si>
  <si>
    <t>Accumulated Depreciation - Motor Vehicles (ROU)</t>
  </si>
  <si>
    <t>17055000</t>
  </si>
  <si>
    <t>Accumulated Depreciation - Office Equipment (ROU)</t>
  </si>
  <si>
    <t>17056000</t>
  </si>
  <si>
    <t>Accumulated Depr'n Fixtures Fittings (ROU)</t>
  </si>
  <si>
    <t>17057000</t>
  </si>
  <si>
    <t>Accumulated Depreciation - Computer Hardware (ROU)</t>
  </si>
  <si>
    <t>Investment Subsidiaries</t>
  </si>
  <si>
    <t>18030000</t>
  </si>
  <si>
    <t>Long Term Investments, Unaffiliated(TRM)</t>
  </si>
  <si>
    <t>18030100</t>
  </si>
  <si>
    <t>Long Term Investments, Affili., No Consolid.(TRM)</t>
  </si>
  <si>
    <t>18030200</t>
  </si>
  <si>
    <t>Long Term Investments, Affiliated, Consolid.(TRM)</t>
  </si>
  <si>
    <t>19310000</t>
  </si>
  <si>
    <t>Internal Development</t>
  </si>
  <si>
    <t>19330000</t>
  </si>
  <si>
    <t>Goodwill</t>
  </si>
  <si>
    <t>19410000</t>
  </si>
  <si>
    <t>Accumulated amortization - Internal Development</t>
  </si>
  <si>
    <t>19420000</t>
  </si>
  <si>
    <t>Accumulated Amortization - Intangible Assets</t>
  </si>
  <si>
    <t>19430000</t>
  </si>
  <si>
    <t>Accumulated Amortization – Goodwill</t>
  </si>
  <si>
    <t>Payables Domestic</t>
  </si>
  <si>
    <t>21100100</t>
  </si>
  <si>
    <t>Payables Domestic - One Time Accounts</t>
  </si>
  <si>
    <t>21100200</t>
  </si>
  <si>
    <t>Payables Domestic due within 1-5 Years</t>
  </si>
  <si>
    <t>21100300</t>
  </si>
  <si>
    <t>Payables Domestic due &gt; 5 Years</t>
  </si>
  <si>
    <t>21110000</t>
  </si>
  <si>
    <t>Goods Received/Invoice Received Consignt/Pipeline</t>
  </si>
  <si>
    <t>21121000</t>
  </si>
  <si>
    <t>GR/IR Sett.transferred (material ledger)</t>
  </si>
  <si>
    <t>21122000</t>
  </si>
  <si>
    <t>Goods Received / Invoice Received Adjustment</t>
  </si>
  <si>
    <t>21180000</t>
  </si>
  <si>
    <t>Customers with a Credit Balance</t>
  </si>
  <si>
    <t>21190000</t>
  </si>
  <si>
    <t>Down Payments-Customers (sp ind A)</t>
  </si>
  <si>
    <t>21190100</t>
  </si>
  <si>
    <t>Down Payments received due within 1-5 Years</t>
  </si>
  <si>
    <t>21190200</t>
  </si>
  <si>
    <t>Down Payments received due &gt; 5 Years</t>
  </si>
  <si>
    <t>21191000</t>
  </si>
  <si>
    <t>Down Payment Requests-Customers (Sp Ind F)</t>
  </si>
  <si>
    <t>21191100</t>
  </si>
  <si>
    <t>Contract Liability for Down Payments</t>
  </si>
  <si>
    <t>21191200</t>
  </si>
  <si>
    <t>Contract Liability for Down Payment Requests</t>
  </si>
  <si>
    <t>21191500</t>
  </si>
  <si>
    <t>Tax on sls/purch-settlement of Customer Down Pyts</t>
  </si>
  <si>
    <t>21192000</t>
  </si>
  <si>
    <t>Adjustment account down payments received</t>
  </si>
  <si>
    <t>Payables Foreign</t>
  </si>
  <si>
    <t>21200100</t>
  </si>
  <si>
    <t>Payables Foreign - One Time Accounts</t>
  </si>
  <si>
    <t>21200200</t>
  </si>
  <si>
    <t>Payables Foreign due within 1-5 years</t>
  </si>
  <si>
    <t>21200300</t>
  </si>
  <si>
    <t>Payables Foreign due &gt; 5 years</t>
  </si>
  <si>
    <t>21202000</t>
  </si>
  <si>
    <t>Payables Foreign Adjustments</t>
  </si>
  <si>
    <t>21300200</t>
  </si>
  <si>
    <t>Payables affiliated Companies due 1-5 Years</t>
  </si>
  <si>
    <t>21300300</t>
  </si>
  <si>
    <t>Payables affiliated Companies due &gt; 5 years</t>
  </si>
  <si>
    <t>21302000</t>
  </si>
  <si>
    <t>Payables affiliated Companies Adjustments</t>
  </si>
  <si>
    <t>21320000</t>
  </si>
  <si>
    <t>Lease Out Clearing Account (ROU)</t>
  </si>
  <si>
    <t>21350000</t>
  </si>
  <si>
    <t>Clearing Invoice Reduction</t>
  </si>
  <si>
    <t>Accrued Net Payroll</t>
  </si>
  <si>
    <t>21505000</t>
  </si>
  <si>
    <t>Payroll - Savings Plan</t>
  </si>
  <si>
    <t>21508000</t>
  </si>
  <si>
    <t>Payroll - Garnishment</t>
  </si>
  <si>
    <t>Payroll - Workers' Compensation Association</t>
  </si>
  <si>
    <t>21518000</t>
  </si>
  <si>
    <t>Document split acct (trip costs co.code clrg HR)</t>
  </si>
  <si>
    <t>21519000</t>
  </si>
  <si>
    <t>Payroll Allocation</t>
  </si>
  <si>
    <t>Reserve for Deferred Taxes</t>
  </si>
  <si>
    <t>21603000</t>
  </si>
  <si>
    <t>Withholding Tax</t>
  </si>
  <si>
    <t>21720100</t>
  </si>
  <si>
    <t>Guarantees received from Vendors</t>
  </si>
  <si>
    <t>21720200</t>
  </si>
  <si>
    <t>Other Payables Adjustments</t>
  </si>
  <si>
    <t>Reserves for Unrealized Costs</t>
  </si>
  <si>
    <t>21722000</t>
  </si>
  <si>
    <t>Manual Reserves for Imminent Loss</t>
  </si>
  <si>
    <t>21723000</t>
  </si>
  <si>
    <t>Manual Reserves for Anticipated Sales Deductions</t>
  </si>
  <si>
    <t>21724000</t>
  </si>
  <si>
    <t>Manual Reserves for Unrealized Costs</t>
  </si>
  <si>
    <t>Accrued Expenses–Goods &amp; Services</t>
  </si>
  <si>
    <t>21730000</t>
  </si>
  <si>
    <t>Freight Clearing Account (MM)</t>
  </si>
  <si>
    <t>21730010</t>
  </si>
  <si>
    <t>Freight Clearing Accnt MM (RUA)</t>
  </si>
  <si>
    <t>21735000</t>
  </si>
  <si>
    <t>Delivery Costs Provision (MM)</t>
  </si>
  <si>
    <t>21735500</t>
  </si>
  <si>
    <t>Delivery Costs Clearing (MM)</t>
  </si>
  <si>
    <t>21740000</t>
  </si>
  <si>
    <t>Customs Duty Clearing Account (MM)</t>
  </si>
  <si>
    <t>21745000</t>
  </si>
  <si>
    <t>Customs Provision (MM)</t>
  </si>
  <si>
    <t>21751000</t>
  </si>
  <si>
    <t>Clearing - Guarantees Received Vendors</t>
  </si>
  <si>
    <t>21760000</t>
  </si>
  <si>
    <t>Freight Provision (MM)</t>
  </si>
  <si>
    <t>Accrued Volume Rebate</t>
  </si>
  <si>
    <t>21772000</t>
  </si>
  <si>
    <t>Provision for Sales Commissions</t>
  </si>
  <si>
    <t>21780000</t>
  </si>
  <si>
    <t>Freight Provision SD</t>
  </si>
  <si>
    <t>21900000</t>
  </si>
  <si>
    <t>Payment Request Clearing Account(TRM)</t>
  </si>
  <si>
    <t>22000000</t>
  </si>
  <si>
    <t>Output Tax (MWS)</t>
  </si>
  <si>
    <t>22100000</t>
  </si>
  <si>
    <t>Acquisition Tax</t>
  </si>
  <si>
    <t>22512000</t>
  </si>
  <si>
    <t>Loans from Banks Adjustments</t>
  </si>
  <si>
    <t>22540000</t>
  </si>
  <si>
    <t>Short Term Debts, Unaffiliated(TRM)</t>
  </si>
  <si>
    <t>22540100</t>
  </si>
  <si>
    <t>Short Term Debts, Affiliated,No Consolidation(TRM)</t>
  </si>
  <si>
    <t>22540200</t>
  </si>
  <si>
    <t>Short Term Debts, Affiliated, Consolidation(TRM)</t>
  </si>
  <si>
    <t>22541000</t>
  </si>
  <si>
    <t>Derivatives Liabilities, Unaffiliated(TRM)</t>
  </si>
  <si>
    <t>22541100</t>
  </si>
  <si>
    <t>Derivatives Liabilities, Affil., No Consolid.(TRM)</t>
  </si>
  <si>
    <t>22541200</t>
  </si>
  <si>
    <t>Derivatives Liabilities, Affili., Consolidat.(TRM)</t>
  </si>
  <si>
    <t>22542000</t>
  </si>
  <si>
    <t>Accr. Interest Exp./Defer. Int. Inc., Unaffi.(TRM)</t>
  </si>
  <si>
    <t>22542100</t>
  </si>
  <si>
    <t>Accr. Int. Exp./Defer. Int. Inc., Aff., NoCo.(TRM)</t>
  </si>
  <si>
    <t>22542200</t>
  </si>
  <si>
    <t>Accr. Int. Exp./Defer. Int. Inc., Affi., Con.(TRM)</t>
  </si>
  <si>
    <t>22543000</t>
  </si>
  <si>
    <t>Price Valuation Reserve (OCI) Gains, Unaffil.(TRM)</t>
  </si>
  <si>
    <t>22543100</t>
  </si>
  <si>
    <t>Price Valua. Reserve (OCI) Gains, Affi., NoCo(TRM)</t>
  </si>
  <si>
    <t>22543200</t>
  </si>
  <si>
    <t>Price Valua. Reserve (OCI) Gains, Affi., Con.(TRM)</t>
  </si>
  <si>
    <t>22544000</t>
  </si>
  <si>
    <t>Price Valuation Reserve (OCI) Losses, Unaffi.(TRM)</t>
  </si>
  <si>
    <t>22544100</t>
  </si>
  <si>
    <t>Price Valu. Reser. (OCI) Losses, Affi., NoCo.(TRM)</t>
  </si>
  <si>
    <t>22544200</t>
  </si>
  <si>
    <t>Price Valu. Reser. (OCI) Losses, Affi., Cons.(TRM)</t>
  </si>
  <si>
    <t>22545000</t>
  </si>
  <si>
    <t>FX Valuation Reserve (OCI) Gains, Unaffiliat.(TRM)</t>
  </si>
  <si>
    <t>22545100</t>
  </si>
  <si>
    <t>FX Valua. Reserve (OCI) Gains, Affil., NoCon.(TRM)</t>
  </si>
  <si>
    <t>22545200</t>
  </si>
  <si>
    <t>FX Valua. Reserve (OCI) Gains, Affi., Consol.(TRM)</t>
  </si>
  <si>
    <t>22546000</t>
  </si>
  <si>
    <t>FX Valuation Reserve (OCI) Losses, Unaffili.(TRM)</t>
  </si>
  <si>
    <t>22546100</t>
  </si>
  <si>
    <t>FX Valua. Reserve (OCI) Losses, Affi., NoCon.(TRM)</t>
  </si>
  <si>
    <t>22546200</t>
  </si>
  <si>
    <t>FX Valua. Reserve (OCI) Losses, Affil., Cons.(TRM)</t>
  </si>
  <si>
    <t>22547000</t>
  </si>
  <si>
    <t>Hedging Reserve (OCI I)(TRM)</t>
  </si>
  <si>
    <t>22548000</t>
  </si>
  <si>
    <t>Cost of Hedging Reserve (OCI II)(TRM)</t>
  </si>
  <si>
    <t>22549000</t>
  </si>
  <si>
    <t>Treasury Techinal Clearing Account(TRM)</t>
  </si>
  <si>
    <t>23000000</t>
  </si>
  <si>
    <t>Lease Liability - Land &amp; Land Improvements (ROU)</t>
  </si>
  <si>
    <t>23000100</t>
  </si>
  <si>
    <t>Lease Liability - Buildings (ROU)</t>
  </si>
  <si>
    <t>23000200</t>
  </si>
  <si>
    <t>Lease Liability - Machinery &amp; Equipment (ROU)</t>
  </si>
  <si>
    <t>23000300</t>
  </si>
  <si>
    <t>Lease Liability - Motor Vehicles (ROU)</t>
  </si>
  <si>
    <t>23000400</t>
  </si>
  <si>
    <t>Lease Liability - Office Equipment (ROU)</t>
  </si>
  <si>
    <t>23000500</t>
  </si>
  <si>
    <t>Lease Liability - Furniture and Fixtures (ROU)</t>
  </si>
  <si>
    <t>23000600</t>
  </si>
  <si>
    <t>Lease Liability-Computer Hardware&amp;Equipment (ROU)</t>
  </si>
  <si>
    <t>23007000</t>
  </si>
  <si>
    <t>Provision of Asset Retirement Obligation (ROU)</t>
  </si>
  <si>
    <t>24010000</t>
  </si>
  <si>
    <t>GR/IR: Goods and Services not yet delivered</t>
  </si>
  <si>
    <t>24020000</t>
  </si>
  <si>
    <t>GR/IR: Goods and Services not yet invoiced</t>
  </si>
  <si>
    <t>Pension Provision</t>
  </si>
  <si>
    <t>Pension Provision - ledgerspecific</t>
  </si>
  <si>
    <t>Trade Tax Provision</t>
  </si>
  <si>
    <t>Corporate Income Tax Provision</t>
  </si>
  <si>
    <t>24034000</t>
  </si>
  <si>
    <t>Capital Gains Tax Provision</t>
  </si>
  <si>
    <t>24035000</t>
  </si>
  <si>
    <t>Foreign Withholding Tax Provision</t>
  </si>
  <si>
    <t>24036000</t>
  </si>
  <si>
    <t>Provision for Other Income and Revenue Tax</t>
  </si>
  <si>
    <t>24037000</t>
  </si>
  <si>
    <t>Provision for Deferred Tax Liabilities</t>
  </si>
  <si>
    <t>Other Provisions</t>
  </si>
  <si>
    <t>24091000</t>
  </si>
  <si>
    <t>Provisions for Guarantees</t>
  </si>
  <si>
    <t>24093000</t>
  </si>
  <si>
    <t>Provisions for Indeterminate Payables</t>
  </si>
  <si>
    <t>Prov for expected Losses fr executory Contracts</t>
  </si>
  <si>
    <t>24098000</t>
  </si>
  <si>
    <t>Asset Revaluation Reserve - ROU</t>
  </si>
  <si>
    <t>Capital Reserve</t>
  </si>
  <si>
    <t>Legal Reserve</t>
  </si>
  <si>
    <t>24098500</t>
  </si>
  <si>
    <t>Statutory Reserve</t>
  </si>
  <si>
    <t>24099900</t>
  </si>
  <si>
    <t>Correction of Provisions</t>
  </si>
  <si>
    <t>26900000</t>
  </si>
  <si>
    <t>Functional Area Clearing</t>
  </si>
  <si>
    <t>Other Payables due within 1-5 Years</t>
  </si>
  <si>
    <t>29120000</t>
  </si>
  <si>
    <t>Other Payables due &gt; 5 Years</t>
  </si>
  <si>
    <t>Loans from Banks remaining Life 1-5 Years</t>
  </si>
  <si>
    <t>29131000</t>
  </si>
  <si>
    <t>Loans from Banks remaining Life &gt; 5 Years</t>
  </si>
  <si>
    <t>29140000</t>
  </si>
  <si>
    <t>Long Term Debts, Unaffiliated(TRM)</t>
  </si>
  <si>
    <t>29140100</t>
  </si>
  <si>
    <t>Long Term Debts, Affiliated, No Consolidation(TRM)</t>
  </si>
  <si>
    <t>29140200</t>
  </si>
  <si>
    <t>Long Term Debts, Affiliated, Consolidation(TRM)</t>
  </si>
  <si>
    <t>29500100</t>
  </si>
  <si>
    <t>Document Split Clearing Account</t>
  </si>
  <si>
    <t>29500900</t>
  </si>
  <si>
    <t>Document Split Clearing Account CO</t>
  </si>
  <si>
    <t>29901000</t>
  </si>
  <si>
    <t>InterCo 10DU</t>
  </si>
  <si>
    <t>29903000</t>
  </si>
  <si>
    <t>InterCo 30DU</t>
  </si>
  <si>
    <t>31100000</t>
  </si>
  <si>
    <t>Preferred Stock</t>
  </si>
  <si>
    <t>32000000</t>
  </si>
  <si>
    <t>Capital in Excess of Par Value</t>
  </si>
  <si>
    <t>Paid in Capital from treasury stock</t>
  </si>
  <si>
    <t>39911000</t>
  </si>
  <si>
    <t>Inventory - Initial Entry of Raw Material Balances</t>
  </si>
  <si>
    <t>39912000</t>
  </si>
  <si>
    <t>Inventory - Initial Entry SF &amp; Finish Gds Balances</t>
  </si>
  <si>
    <t>39913000</t>
  </si>
  <si>
    <t>Initial FI-AM offset</t>
  </si>
  <si>
    <t>39914000</t>
  </si>
  <si>
    <t>Initial FI-AR offset</t>
  </si>
  <si>
    <t>39915000</t>
  </si>
  <si>
    <t>Initial FI-AP offset</t>
  </si>
  <si>
    <t>39916000</t>
  </si>
  <si>
    <t>Initial other GL offset</t>
  </si>
  <si>
    <t>39917000</t>
  </si>
  <si>
    <t>Initial other Open Item GL offset</t>
  </si>
  <si>
    <t>39918000</t>
  </si>
  <si>
    <t>Initial TR Positions Offset(TRM)</t>
  </si>
  <si>
    <t>Revenue Domestic - Product</t>
  </si>
  <si>
    <t>Sales Revenue w/ Cost Element</t>
  </si>
  <si>
    <t>41001000</t>
  </si>
  <si>
    <t>Revenue Foreign - Product</t>
  </si>
  <si>
    <t>41003000</t>
  </si>
  <si>
    <t>Accrued Revenue – EBR Adjustment</t>
  </si>
  <si>
    <t>41007100</t>
  </si>
  <si>
    <t>On-Account Issued (Service Provider)</t>
  </si>
  <si>
    <t>41007200</t>
  </si>
  <si>
    <t>On-Account Utilized (Service Provider)</t>
  </si>
  <si>
    <t>Other Operating Revenue</t>
  </si>
  <si>
    <t>41910000</t>
  </si>
  <si>
    <t>Billed Revenue Domestic</t>
  </si>
  <si>
    <t>41940000</t>
  </si>
  <si>
    <t>Billed Revenue Foreign</t>
  </si>
  <si>
    <t>41970000</t>
  </si>
  <si>
    <t>Billed Revenue Affiliated</t>
  </si>
  <si>
    <t>Over/Underpayments and Unallowed Deductions</t>
  </si>
  <si>
    <t>Sales Discounts - Domestic</t>
  </si>
  <si>
    <t>44002100</t>
  </si>
  <si>
    <t>Sales Discounts - Foreign</t>
  </si>
  <si>
    <t>44002200</t>
  </si>
  <si>
    <t>Sales Discounts - Affiliated</t>
  </si>
  <si>
    <t>44003000</t>
  </si>
  <si>
    <t>Customer Sales Deduction - Domestic</t>
  </si>
  <si>
    <t>44003100</t>
  </si>
  <si>
    <t>Customer Sales Deduction - Foreign</t>
  </si>
  <si>
    <t>44003200</t>
  </si>
  <si>
    <t>Customer Sales Deduction - Affiliated</t>
  </si>
  <si>
    <t>44004000</t>
  </si>
  <si>
    <t>Sales Deduction - Material</t>
  </si>
  <si>
    <t>44005000</t>
  </si>
  <si>
    <t>Free Goods and Discount in kind</t>
  </si>
  <si>
    <t>44006000</t>
  </si>
  <si>
    <t>Sales Deduction - Quantity</t>
  </si>
  <si>
    <t>44401100</t>
  </si>
  <si>
    <t>Revenue Adjustment</t>
  </si>
  <si>
    <t>44405600</t>
  </si>
  <si>
    <t>Revenue - On Account Adjustment</t>
  </si>
  <si>
    <t>44420000</t>
  </si>
  <si>
    <t>44910000</t>
  </si>
  <si>
    <t>Sales Deduction Domestic</t>
  </si>
  <si>
    <t>44940000</t>
  </si>
  <si>
    <t>Sales Deduction Foreign</t>
  </si>
  <si>
    <t>44970000</t>
  </si>
  <si>
    <t>Sales Deduction Affiliated</t>
  </si>
  <si>
    <t>49999900</t>
  </si>
  <si>
    <t>Clearing Target Revenue Reallocation</t>
  </si>
  <si>
    <t>50100000</t>
  </si>
  <si>
    <t>Cost of Goods Sold (Raw Material w/o Cost Element)</t>
  </si>
  <si>
    <t>50150000</t>
  </si>
  <si>
    <t>Cost of Goods Sold (PackagingMat w/o Cost Element)</t>
  </si>
  <si>
    <t>50200000</t>
  </si>
  <si>
    <t>Cost of Goods Sold (Trade w/o Cost Element)</t>
  </si>
  <si>
    <t>Cost of Goods Sold (SF &amp; Finish Goods w/o Cost El)</t>
  </si>
  <si>
    <t>50301000</t>
  </si>
  <si>
    <t>COGS Direct Material</t>
  </si>
  <si>
    <t>Net Income &gt; Operating Income &gt; Gross Margin &gt; Cost of Goods Sold</t>
  </si>
  <si>
    <t>50302000</t>
  </si>
  <si>
    <t>COGS Third Party</t>
  </si>
  <si>
    <t>50303000</t>
  </si>
  <si>
    <t>COGS Material Overhead</t>
  </si>
  <si>
    <t>50304000</t>
  </si>
  <si>
    <t>COGS Personnel Time</t>
  </si>
  <si>
    <t>50305000</t>
  </si>
  <si>
    <t>COGS Machine Time</t>
  </si>
  <si>
    <t>50306000</t>
  </si>
  <si>
    <t>COGS Setup Time</t>
  </si>
  <si>
    <t>50307000</t>
  </si>
  <si>
    <t>COGS Production Overhead</t>
  </si>
  <si>
    <t>50308000</t>
  </si>
  <si>
    <t>COGS Credits (Co/By-Pr)</t>
  </si>
  <si>
    <t>50309000</t>
  </si>
  <si>
    <t>COGS - Hardware</t>
  </si>
  <si>
    <t>50309500</t>
  </si>
  <si>
    <t>COGS - Licenses</t>
  </si>
  <si>
    <t>Consumption - Raw Material</t>
  </si>
  <si>
    <t>Consumption - Packaging Material</t>
  </si>
  <si>
    <t>51600000</t>
  </si>
  <si>
    <t>Consumption - Trading Goods</t>
  </si>
  <si>
    <t>Consumption - Repair Material</t>
  </si>
  <si>
    <t>51900000</t>
  </si>
  <si>
    <t>Consumption - Subcontracting, w/o CE</t>
  </si>
  <si>
    <t>Consumption - Subcontracting</t>
  </si>
  <si>
    <t>Loss Inventory Variance (SF &amp; Finish Goods)</t>
  </si>
  <si>
    <t>52011000</t>
  </si>
  <si>
    <t>Loss Inventory Transfer (Raw &amp; Trade)</t>
  </si>
  <si>
    <t>52013000</t>
  </si>
  <si>
    <t>Loss Inventory Transfer (SF &amp; Finish Goods)</t>
  </si>
  <si>
    <t>52021000</t>
  </si>
  <si>
    <t>Loss Consumption for Quality Control (Raw &amp; Trade)</t>
  </si>
  <si>
    <t>52023000</t>
  </si>
  <si>
    <t>Loss Consumption for Quality Control (SF&amp;Fin Gds)</t>
  </si>
  <si>
    <t>Loss from Revaluation</t>
  </si>
  <si>
    <t>Loss from Valuation of External Products</t>
  </si>
  <si>
    <t>52033000</t>
  </si>
  <si>
    <t>Loss from Valuation of own Products</t>
  </si>
  <si>
    <t>52041500</t>
  </si>
  <si>
    <t>Loss Inventory Value Adjustment Ext. Prod. (BSK)</t>
  </si>
  <si>
    <t>Loss Price Differences (PRL)</t>
  </si>
  <si>
    <t>52043000</t>
  </si>
  <si>
    <t>Loss Price Differences (PRY)</t>
  </si>
  <si>
    <t>52044000</t>
  </si>
  <si>
    <t>Loss Price Differences - Material Ledger (LKW)</t>
  </si>
  <si>
    <t>52045000</t>
  </si>
  <si>
    <t>Loss Price Differences own Products (PRK)</t>
  </si>
  <si>
    <t>52046000</t>
  </si>
  <si>
    <t>Differences (AVR Price)  (PRC)</t>
  </si>
  <si>
    <t>52051000</t>
  </si>
  <si>
    <t>Loss Consumption of Consign. Mat (Raw &amp; Trade)</t>
  </si>
  <si>
    <t>Loss Consumption of Consign. Mat (SF &amp; F.Goods)</t>
  </si>
  <si>
    <t>52060000</t>
  </si>
  <si>
    <t>Loss Small Price Differences Invoice Receipt (MM)</t>
  </si>
  <si>
    <t>52070000</t>
  </si>
  <si>
    <t>Loss from Production Variances</t>
  </si>
  <si>
    <t>52070500</t>
  </si>
  <si>
    <t>Loss Inventory Value Adjustment Own Prod. (BSK)</t>
  </si>
  <si>
    <t>Loss from allowed Differences GL Account Clearing</t>
  </si>
  <si>
    <t>Gain Inventory Variance (Raw &amp; Trade)</t>
  </si>
  <si>
    <t>52503000</t>
  </si>
  <si>
    <t>Gain Inventory Variance (SF &amp; Finish Goods)</t>
  </si>
  <si>
    <t>52511000</t>
  </si>
  <si>
    <t>Gain Inventory Transfer (Raw &amp; Trade)</t>
  </si>
  <si>
    <t>52513000</t>
  </si>
  <si>
    <t>Gain Inventory Transfer (SF &amp; Finish Goods)</t>
  </si>
  <si>
    <t>52521000</t>
  </si>
  <si>
    <t>Gain Consumption for Quality Control (Raw &amp; Trade)</t>
  </si>
  <si>
    <t>Gain Consumption for QM (SF &amp; Finish Goods)</t>
  </si>
  <si>
    <t>52530000</t>
  </si>
  <si>
    <t>Gain from Revaluation</t>
  </si>
  <si>
    <t>Gain from Valuation of External Products</t>
  </si>
  <si>
    <t>52532000</t>
  </si>
  <si>
    <t>Gain from Valuation own Products</t>
  </si>
  <si>
    <t>52541100</t>
  </si>
  <si>
    <t>Activity Price Diff. writeoff from WIP (PRA)</t>
  </si>
  <si>
    <t>52541200</t>
  </si>
  <si>
    <t>Activity Price Diff. writeoff from WIP (PRM)</t>
  </si>
  <si>
    <t>52541500</t>
  </si>
  <si>
    <t>Gain Inventory Value Adjustment Ext. Prod. (BSK)</t>
  </si>
  <si>
    <t>52542000</t>
  </si>
  <si>
    <t>Gain Price Differences (PRL)</t>
  </si>
  <si>
    <t>52543000</t>
  </si>
  <si>
    <t>Gain Price Differences (PRY)</t>
  </si>
  <si>
    <t>Gain Price Differences - Material Ledger (LKW)</t>
  </si>
  <si>
    <t>Posterior Real Rate Activity Allocation (AUI)</t>
  </si>
  <si>
    <t>52546000</t>
  </si>
  <si>
    <t>Consumption Valuation (COC)</t>
  </si>
  <si>
    <t>52551000</t>
  </si>
  <si>
    <t>Gain Consumption of Consign. Mat (Raw &amp; Trade)</t>
  </si>
  <si>
    <t>52552000</t>
  </si>
  <si>
    <t>Gain Consumption of Consign. Mat (SF &amp; F.Goods)</t>
  </si>
  <si>
    <t>52560000</t>
  </si>
  <si>
    <t>Gain Small Price Difference Invoices Receipt (MM)</t>
  </si>
  <si>
    <t>52570000</t>
  </si>
  <si>
    <t>Gain from Production Variances</t>
  </si>
  <si>
    <t>52570500</t>
  </si>
  <si>
    <t>Gain Inventory Value Adjustment Own Prod. (BSK)</t>
  </si>
  <si>
    <t>52580000</t>
  </si>
  <si>
    <t>Gain from allowed Differences GL Account Clearing</t>
  </si>
  <si>
    <t>52590000</t>
  </si>
  <si>
    <t>Freight Revenue - Recovery</t>
  </si>
  <si>
    <t>54011000</t>
  </si>
  <si>
    <t>Inventory Change - Purch.Offset.Acct (Raw)</t>
  </si>
  <si>
    <t>54011100</t>
  </si>
  <si>
    <t>Inventory Change - Purch.offset.acct (Packaging)</t>
  </si>
  <si>
    <t>54011200</t>
  </si>
  <si>
    <t>Inventory Change - Purch.offset.acct (Trading)</t>
  </si>
  <si>
    <t>54013000</t>
  </si>
  <si>
    <t>Inventory Change - Purch.Offset.Acct (SF &amp; F.Good)</t>
  </si>
  <si>
    <t>Inventory Change - Reserve</t>
  </si>
  <si>
    <t>54053000</t>
  </si>
  <si>
    <t>Inventory Change - Scrap own Products</t>
  </si>
  <si>
    <t>54070000</t>
  </si>
  <si>
    <t>Inventory Change - Receipt without PO</t>
  </si>
  <si>
    <t>54083000</t>
  </si>
  <si>
    <t>Inventory Change - Cost of own Goods sold w/C.Elem</t>
  </si>
  <si>
    <t>54084000</t>
  </si>
  <si>
    <t>Inventory Change Cost own Goods sold SO cons. w/CE</t>
  </si>
  <si>
    <t>54093000</t>
  </si>
  <si>
    <t>Inventory Change - QM cons.own prod. w/ cst elem.</t>
  </si>
  <si>
    <t>Net Income &gt; Operating Income &gt; Operating Expense &gt; Change in Inventory</t>
  </si>
  <si>
    <t>54200000</t>
  </si>
  <si>
    <t>Inventory Change - Work in Progress</t>
  </si>
  <si>
    <t>54200100</t>
  </si>
  <si>
    <t>Inventory Change - Work in Progress Event Based</t>
  </si>
  <si>
    <t>54300000</t>
  </si>
  <si>
    <t>Inventory Change - Semi Finished goods</t>
  </si>
  <si>
    <t>54400000</t>
  </si>
  <si>
    <t>Inventory Change - Finished Goods</t>
  </si>
  <si>
    <t>54441000</t>
  </si>
  <si>
    <t>Adjustment to Reserves for Unrealized Costs</t>
  </si>
  <si>
    <t>54442000</t>
  </si>
  <si>
    <t>Man Adj of Reserves for Imminent Loss</t>
  </si>
  <si>
    <t>54444000</t>
  </si>
  <si>
    <t>Man Adj of Reserves for Unrealized Costs</t>
  </si>
  <si>
    <t>55100000</t>
  </si>
  <si>
    <t>Adjustment Plant Activity Production Order</t>
  </si>
  <si>
    <t>55110000</t>
  </si>
  <si>
    <t>Secondary Cost external Settlement</t>
  </si>
  <si>
    <t>Adjustment Reserves for Anticipated Losses</t>
  </si>
  <si>
    <t>59900000</t>
  </si>
  <si>
    <t>Cost of Goods Sold (Affiliated)</t>
  </si>
  <si>
    <t>61002000</t>
  </si>
  <si>
    <t>3rd party material</t>
  </si>
  <si>
    <t>Travel Expenses - Meals</t>
  </si>
  <si>
    <t>Travel Expenses - Ground Transportation</t>
  </si>
  <si>
    <t>Travel Expenses - Entertainment</t>
  </si>
  <si>
    <t>Payroll - Other Personnel Expenses</t>
  </si>
  <si>
    <t>Payroll - Overtime Salaries</t>
  </si>
  <si>
    <t>Payroll - Overtime Wages</t>
  </si>
  <si>
    <t>61022000</t>
  </si>
  <si>
    <t>Payroll - Vacation Pay Salaries</t>
  </si>
  <si>
    <t>61022040</t>
  </si>
  <si>
    <t>Workers' compensation assoc. contributions (AU,BR)</t>
  </si>
  <si>
    <t>61022100</t>
  </si>
  <si>
    <t>Payroll - Vacation Pay Wages</t>
  </si>
  <si>
    <t>61051000</t>
  </si>
  <si>
    <t>Payroll Expense - Downtime Wages</t>
  </si>
  <si>
    <t>61052000</t>
  </si>
  <si>
    <t>Payroll Expense - Downtime Salaries</t>
  </si>
  <si>
    <t>Payroll Expense - Pension Contributions</t>
  </si>
  <si>
    <t>Payroll - Benefits</t>
  </si>
  <si>
    <t>Dues to Associations</t>
  </si>
  <si>
    <t>Payroll Expense - Salaries</t>
  </si>
  <si>
    <t>Payroll Expense - Other salary-related expenses</t>
  </si>
  <si>
    <t>Payroll Expense - Other wage-related expenses</t>
  </si>
  <si>
    <t>61103000</t>
  </si>
  <si>
    <t>Payroll Expense - Direct Labor Cost</t>
  </si>
  <si>
    <t>61104000</t>
  </si>
  <si>
    <t>Payroll Expense - Indirect Labor Cost</t>
  </si>
  <si>
    <t>Payroll Expense - Tax and Soc Security - Wages</t>
  </si>
  <si>
    <t>61201000</t>
  </si>
  <si>
    <t>Payroll Expense - Tax and Soc Security - Salaries</t>
  </si>
  <si>
    <t>61500000</t>
  </si>
  <si>
    <t>Sales Commissions</t>
  </si>
  <si>
    <t>Bad Debt Expense</t>
  </si>
  <si>
    <t>Individual Value Adjustments</t>
  </si>
  <si>
    <t>Machine and Equipment Periodic Service</t>
  </si>
  <si>
    <t>Qualtiy Control Consumption Ext. Prod. w/ Act Type</t>
  </si>
  <si>
    <t>Electricity and other Utilities</t>
  </si>
  <si>
    <t>Water</t>
  </si>
  <si>
    <t>63003000</t>
  </si>
  <si>
    <t>Other Periodic Service</t>
  </si>
  <si>
    <t>Insurance</t>
  </si>
  <si>
    <t>63007000</t>
  </si>
  <si>
    <t>Fax and Internet</t>
  </si>
  <si>
    <t>Building Periodic Service</t>
  </si>
  <si>
    <t>Lease Expense Building (ROU)</t>
  </si>
  <si>
    <t>Lease Expense Land (ROU)</t>
  </si>
  <si>
    <t>Lease expense Machinery (ROU)</t>
  </si>
  <si>
    <t>63009400</t>
  </si>
  <si>
    <t>Lease expense Motor Vehicle (ROU)</t>
  </si>
  <si>
    <t>Lease expense Office Equipment (ROU)</t>
  </si>
  <si>
    <t>63009600</t>
  </si>
  <si>
    <t>Lease Expense Furniture (ROU)</t>
  </si>
  <si>
    <t>63009700</t>
  </si>
  <si>
    <t>Lease Expense Computer Hardware (ROU)</t>
  </si>
  <si>
    <t>Service Expense Land (ROU)</t>
  </si>
  <si>
    <t>63010200</t>
  </si>
  <si>
    <t>Service Expense Building (ROU)</t>
  </si>
  <si>
    <t>63010300</t>
  </si>
  <si>
    <t>Service expense Machinery (ROU)</t>
  </si>
  <si>
    <t>63010400</t>
  </si>
  <si>
    <t>Operating expense Motor Vehicle (ROU)</t>
  </si>
  <si>
    <t>Service expense Office Equipment (ROU)</t>
  </si>
  <si>
    <t>63010600</t>
  </si>
  <si>
    <t>Service Expense Furniture (ROU)</t>
  </si>
  <si>
    <t>63010700</t>
  </si>
  <si>
    <t>Service Expense Computer Hardware (ROU)</t>
  </si>
  <si>
    <t>63020100</t>
  </si>
  <si>
    <t>Exp./Rev. from Valuation Diff. Building (ROU)</t>
  </si>
  <si>
    <t>63020200</t>
  </si>
  <si>
    <t>Exp./Rev. from Valuation Diff. Land (ROU)</t>
  </si>
  <si>
    <t>63020300</t>
  </si>
  <si>
    <t>Exp./Rev. from Valuation Diff. Machinery (ROU)</t>
  </si>
  <si>
    <t>63020400</t>
  </si>
  <si>
    <t>Exp./Rev. from Valuation Diff. Motor Vehicle (ROU)</t>
  </si>
  <si>
    <t>63020500</t>
  </si>
  <si>
    <t>Exp./Rev. Valuation Diff. Office Equipment (ROU)</t>
  </si>
  <si>
    <t>63020600</t>
  </si>
  <si>
    <t>Exp./Rev. from Valuation Diff. Furniture (ROU)</t>
  </si>
  <si>
    <t>63020700</t>
  </si>
  <si>
    <t>Exp./Rev. Valuation Diff. Computer Hardware (ROU)</t>
  </si>
  <si>
    <t>Depreciation Expense - Land (ROU)</t>
  </si>
  <si>
    <t>64001100</t>
  </si>
  <si>
    <t>Depreciation Expense - Buildings (ROU)</t>
  </si>
  <si>
    <t>64002000</t>
  </si>
  <si>
    <t>Depreciation Expense - Machinery &amp; Equipment</t>
  </si>
  <si>
    <t>64002100</t>
  </si>
  <si>
    <t>Depreciation Expense - Machinery &amp; Equipment (ROU)</t>
  </si>
  <si>
    <t>64003000</t>
  </si>
  <si>
    <t>Depreciation Expense - Building Improvement</t>
  </si>
  <si>
    <t>Depreciation Expense - Motor Vehicles</t>
  </si>
  <si>
    <t>64004100</t>
  </si>
  <si>
    <t>Depreciation Expense - Motor Vehicles (ROU)</t>
  </si>
  <si>
    <t>Depreciation Expense - Office Equipment</t>
  </si>
  <si>
    <t>64005100</t>
  </si>
  <si>
    <t>Depreciation Expense - Office Equipment (ROU)</t>
  </si>
  <si>
    <t>64006000</t>
  </si>
  <si>
    <t>Depreciation Expense - Furniture</t>
  </si>
  <si>
    <t>64006100</t>
  </si>
  <si>
    <t>Depreciation Expense - Furniture (ROU)</t>
  </si>
  <si>
    <t>64007000</t>
  </si>
  <si>
    <t>Depreciation Expense - Computer Hardware</t>
  </si>
  <si>
    <t>64007100</t>
  </si>
  <si>
    <t>Depreciation Expense - Computer Hardware (ROU)</t>
  </si>
  <si>
    <t>Depreciation Expense - Computer Software</t>
  </si>
  <si>
    <t>64010000</t>
  </si>
  <si>
    <t>Service Contract Expense</t>
  </si>
  <si>
    <t>Depreciation Expense - Low Value Assets</t>
  </si>
  <si>
    <t>Amortization Expense - Intangible Assets</t>
  </si>
  <si>
    <t>Unplanned Depreciation Expense</t>
  </si>
  <si>
    <t>64040000</t>
  </si>
  <si>
    <t>Scheduled Deprec Fixed Assets below Asset Value</t>
  </si>
  <si>
    <t>64043000</t>
  </si>
  <si>
    <t>Amortization Expense - Goodwill</t>
  </si>
  <si>
    <t>Accrued interest (CO)</t>
  </si>
  <si>
    <t>Non Production - Material Consumption</t>
  </si>
  <si>
    <t>Purchased Services</t>
  </si>
  <si>
    <t>65002000</t>
  </si>
  <si>
    <t>Advertising and Sales Costs</t>
  </si>
  <si>
    <t>Vehicle Costs</t>
  </si>
  <si>
    <t>Donations</t>
  </si>
  <si>
    <t>65008000</t>
  </si>
  <si>
    <t>Purchased Services-Time</t>
  </si>
  <si>
    <t>65008400</t>
  </si>
  <si>
    <t>Purchased Services - Accommodation</t>
  </si>
  <si>
    <t>65008410</t>
  </si>
  <si>
    <t>Purchased Services - Airfair</t>
  </si>
  <si>
    <t>65008420</t>
  </si>
  <si>
    <t>Purchased Services - Ground Transportation</t>
  </si>
  <si>
    <t>65008430</t>
  </si>
  <si>
    <t>Purchased Services - Travel Miscellaneous</t>
  </si>
  <si>
    <t>65008500</t>
  </si>
  <si>
    <t>Subcontracting Services</t>
  </si>
  <si>
    <t>65009000</t>
  </si>
  <si>
    <t>Other Activity Costs</t>
  </si>
  <si>
    <t>65050000</t>
  </si>
  <si>
    <t>Unplanned Delivery costs</t>
  </si>
  <si>
    <t>Office Supplies</t>
  </si>
  <si>
    <t>Computer Supplies</t>
  </si>
  <si>
    <t>Other Supplies</t>
  </si>
  <si>
    <t>Legal and Audit Services</t>
  </si>
  <si>
    <t>Marketing Expenses</t>
  </si>
  <si>
    <t>Freight</t>
  </si>
  <si>
    <t>Income - reduction in provisions</t>
  </si>
  <si>
    <t>66000600</t>
  </si>
  <si>
    <t>Other Gains</t>
  </si>
  <si>
    <t>Expense of Discounting (ZKB)</t>
  </si>
  <si>
    <t>Addition to Provisions (ZKK)</t>
  </si>
  <si>
    <t>ICO Expense Travel</t>
  </si>
  <si>
    <t>66999900</t>
  </si>
  <si>
    <t>ICO Expense Consultance</t>
  </si>
  <si>
    <t>68888800</t>
  </si>
  <si>
    <t>ICO Clearing Account - Travel</t>
  </si>
  <si>
    <t>70010000</t>
  </si>
  <si>
    <t>Revenue from Post Capitalization</t>
  </si>
  <si>
    <t>Settlement of Asset u. Construction to CO Object</t>
  </si>
  <si>
    <t>Revenue from Fixed Asset Sale</t>
  </si>
  <si>
    <t>Clearing Account Asset Disposals</t>
  </si>
  <si>
    <t>70050000</t>
  </si>
  <si>
    <t>Clearing affiliated asset transfer</t>
  </si>
  <si>
    <t>Interest Income</t>
  </si>
  <si>
    <t>Interest Income, Unaffiliated(TRM)</t>
  </si>
  <si>
    <t>70200100</t>
  </si>
  <si>
    <t>Interest Income, Affiliated, No Consolidation(TRM)</t>
  </si>
  <si>
    <t>70200200</t>
  </si>
  <si>
    <t>Interest Income, Affiliated, Consolidation(TRM)</t>
  </si>
  <si>
    <t>70210000</t>
  </si>
  <si>
    <t>Realized Price Gains, Unaffiliated(TRM)</t>
  </si>
  <si>
    <t>70210100</t>
  </si>
  <si>
    <t>Realized Price Gains, Affiliated, No Consoli.(TRM)</t>
  </si>
  <si>
    <t>70210200</t>
  </si>
  <si>
    <t>Realized Price Gains, Affiliated, Consolidat.(TRM)</t>
  </si>
  <si>
    <t>70220000</t>
  </si>
  <si>
    <t>Gain from Price Valuation, Unaffiliated(TRM)</t>
  </si>
  <si>
    <t>70220100</t>
  </si>
  <si>
    <t>Gain from Price Valuation, Affilia., No Cons.(TRM)</t>
  </si>
  <si>
    <t>70220200</t>
  </si>
  <si>
    <t>Gain from Price Valuation, Affilia., Consol.(TRM)</t>
  </si>
  <si>
    <t>Other Income (TRM)</t>
  </si>
  <si>
    <t>70500000</t>
  </si>
  <si>
    <t>Consumption of Provisions</t>
  </si>
  <si>
    <t>70700000</t>
  </si>
  <si>
    <t>Lease Income for - Non-Residential Real Estate</t>
  </si>
  <si>
    <t>70700100</t>
  </si>
  <si>
    <t>Leasing Income - Residential Real Estate</t>
  </si>
  <si>
    <t>Leasing Income - Other</t>
  </si>
  <si>
    <t>Leasing Income - Sublease (ROU)</t>
  </si>
  <si>
    <t>70800000</t>
  </si>
  <si>
    <t>Other Extraordinary Income</t>
  </si>
  <si>
    <t>Net Income &gt; Other Income and Expense &gt; Extraordinary Items &gt; Extraordinary Income</t>
  </si>
  <si>
    <t>Service Income - Real Estate</t>
  </si>
  <si>
    <t>Service Income - other</t>
  </si>
  <si>
    <t>70900000</t>
  </si>
  <si>
    <t>Fines and Penalties</t>
  </si>
  <si>
    <t>Commission/Charge (TRM)</t>
  </si>
  <si>
    <t>Other Expenses (TRM)</t>
  </si>
  <si>
    <t>Gain from Write Up of Fixed Assets</t>
  </si>
  <si>
    <t>71010300</t>
  </si>
  <si>
    <t>Loss from Asset Transactions (ROU)</t>
  </si>
  <si>
    <t>Offsetting Account Revaluation ord. Depreciation</t>
  </si>
  <si>
    <t>71040000</t>
  </si>
  <si>
    <t>Discount lost using Net Procedure</t>
  </si>
  <si>
    <t>71050000</t>
  </si>
  <si>
    <t>Cash Discounts Expense</t>
  </si>
  <si>
    <t>Interest Expense</t>
  </si>
  <si>
    <t>71100100</t>
  </si>
  <si>
    <t>Interest expense Building (ROU)</t>
  </si>
  <si>
    <t>71100200</t>
  </si>
  <si>
    <t>Interest expense Land (ROU)</t>
  </si>
  <si>
    <t>71100300</t>
  </si>
  <si>
    <t>Interest expense Machinery (ROU)</t>
  </si>
  <si>
    <t>71100400</t>
  </si>
  <si>
    <t>Interest expense Motor Vehicle (ROU)</t>
  </si>
  <si>
    <t>Interest expense Office Equipment (ROU)</t>
  </si>
  <si>
    <t>71100600</t>
  </si>
  <si>
    <t>Interest Expense Furniture (ROU)</t>
  </si>
  <si>
    <t>71100700</t>
  </si>
  <si>
    <t>Interest Computer Hardware (ROU)</t>
  </si>
  <si>
    <t>Interest Expense - Subsidiaries</t>
  </si>
  <si>
    <t>71400000</t>
  </si>
  <si>
    <t>Interest Expense, Unaffiliated(TRM)</t>
  </si>
  <si>
    <t>71400100</t>
  </si>
  <si>
    <t>Interest Expense, Affiliated, No Consolidat.(TRM)</t>
  </si>
  <si>
    <t>71400200</t>
  </si>
  <si>
    <t>Interest Expense, Affiliated, Consolidation(TRM)</t>
  </si>
  <si>
    <t>71500000</t>
  </si>
  <si>
    <t>Gain/loss from Hedge Ineffectiveness(TRM)</t>
  </si>
  <si>
    <t>71600000</t>
  </si>
  <si>
    <t>Realized Price Losses, Unaffiliated(TRM)</t>
  </si>
  <si>
    <t>71600100</t>
  </si>
  <si>
    <t>Realized Price Losses, Affili., No Consolid.(TRM)</t>
  </si>
  <si>
    <t>71600200</t>
  </si>
  <si>
    <t>Realized Price Losses, Affiliated, Consolid.(TRM)</t>
  </si>
  <si>
    <t>71700000</t>
  </si>
  <si>
    <t>Loss from Price Valuation, Unaffiliated(TRM)</t>
  </si>
  <si>
    <t>71700100</t>
  </si>
  <si>
    <t>Loss from Price Valuation, Affilia., No Cons.(TRM)</t>
  </si>
  <si>
    <t>71700200</t>
  </si>
  <si>
    <t>Loss from Price Valuation, Affilia., Consoli.(TRM)</t>
  </si>
  <si>
    <t>71800000</t>
  </si>
  <si>
    <t>Other Extraordinary Expenses</t>
  </si>
  <si>
    <t>Net Income &gt; Other Income and Expense &gt; Extraordinary Items &gt; Extraordinary Expense</t>
  </si>
  <si>
    <t>72020000</t>
  </si>
  <si>
    <t>Loss from Rounding Dif. Foreign Currency</t>
  </si>
  <si>
    <t>Loss from Currency Valuation</t>
  </si>
  <si>
    <t>72050000</t>
  </si>
  <si>
    <t>Realized FX Rate Losses, Unaffiliated(TRM)</t>
  </si>
  <si>
    <t>72050100</t>
  </si>
  <si>
    <t>Realized FX Rate Losses, Affili., No Consol.(TRM)</t>
  </si>
  <si>
    <t>72050200</t>
  </si>
  <si>
    <t>Realized FX Rate Losses, Affiliat., Consolid.(TRM)</t>
  </si>
  <si>
    <t>72060000</t>
  </si>
  <si>
    <t>Loss from FX Valuation, Unaffiliated(TRM)</t>
  </si>
  <si>
    <t>72060100</t>
  </si>
  <si>
    <t>Loss from FX Valuation, Affiliat., No Consol.(TRM)</t>
  </si>
  <si>
    <t>72060200</t>
  </si>
  <si>
    <t>Loss from FX Valuation, Affiliat., Consolid.(TRM)</t>
  </si>
  <si>
    <t>72510000</t>
  </si>
  <si>
    <t>Gain from exchange rate differences</t>
  </si>
  <si>
    <t>Net Income &gt; Other Income and Expense &gt; Foreign Currency &gt; Foreign Currency Income</t>
  </si>
  <si>
    <t>72520000</t>
  </si>
  <si>
    <t>Gain from rounding dif. foreign currency</t>
  </si>
  <si>
    <t>72530000</t>
  </si>
  <si>
    <t>Gain from rebates differences</t>
  </si>
  <si>
    <t>72540000</t>
  </si>
  <si>
    <t>Gain from currency valuation</t>
  </si>
  <si>
    <t>72550000</t>
  </si>
  <si>
    <t>Realized FX Rate Gains, Unaffiliated(TRM)</t>
  </si>
  <si>
    <t>72550100</t>
  </si>
  <si>
    <t>Realized FX Rate Gains, Affiliat., No Consol.(TRM)</t>
  </si>
  <si>
    <t>72550200</t>
  </si>
  <si>
    <t>Realized FX Rate Gains, Affiliat., Consolid.(TRM)</t>
  </si>
  <si>
    <t>72560000</t>
  </si>
  <si>
    <t>Gain from FX Valuation, Unaffiliated (TRM)</t>
  </si>
  <si>
    <t>72560100</t>
  </si>
  <si>
    <t>Gain from FX Valuation, Affiliat., No Consol.(TRM)</t>
  </si>
  <si>
    <t>72560200</t>
  </si>
  <si>
    <t>Gain from FX Valuation, Affiliated, Consolid.(TRM)</t>
  </si>
  <si>
    <t>75001000</t>
  </si>
  <si>
    <t>Excise Taxes</t>
  </si>
  <si>
    <t>Corporate Income Tax Expense</t>
  </si>
  <si>
    <t>75002100</t>
  </si>
  <si>
    <t>Capital Gains Tax</t>
  </si>
  <si>
    <t>75002200</t>
  </si>
  <si>
    <t>Solidary Surcharge on Corporate Income Tax</t>
  </si>
  <si>
    <t>75002300</t>
  </si>
  <si>
    <t>Solidary surcharge for Interest Income Tax</t>
  </si>
  <si>
    <t>75003000</t>
  </si>
  <si>
    <t>Deferred Tax</t>
  </si>
  <si>
    <t>75004000</t>
  </si>
  <si>
    <t>Other Taxes on Income</t>
  </si>
  <si>
    <t>Property Taxes</t>
  </si>
  <si>
    <t>Trade Tax</t>
  </si>
  <si>
    <t>75009000</t>
  </si>
  <si>
    <t>Export Duty</t>
  </si>
  <si>
    <t>Other Company Taxes</t>
  </si>
  <si>
    <t>90001000</t>
  </si>
  <si>
    <t>Activated Carried Forward Losses</t>
  </si>
  <si>
    <t>Deferred Carried Forward Losses</t>
  </si>
  <si>
    <t>92101500</t>
  </si>
  <si>
    <t>Settl. Rework</t>
  </si>
  <si>
    <t>92101800</t>
  </si>
  <si>
    <t>Settlement R</t>
  </si>
  <si>
    <t>92105100</t>
  </si>
  <si>
    <t>Personnel costs</t>
  </si>
  <si>
    <t>92105200</t>
  </si>
  <si>
    <t>Spare/Service/Ext Material con</t>
  </si>
  <si>
    <t>Other costs</t>
  </si>
  <si>
    <t>92105400</t>
  </si>
  <si>
    <t>Secondary costs</t>
  </si>
  <si>
    <t>94111000</t>
  </si>
  <si>
    <t>Overhead Material</t>
  </si>
  <si>
    <t>94112000</t>
  </si>
  <si>
    <t>Overhead production</t>
  </si>
  <si>
    <t>94113000</t>
  </si>
  <si>
    <t>Overhead administration</t>
  </si>
  <si>
    <t>94114000</t>
  </si>
  <si>
    <t>Overhead sales</t>
  </si>
  <si>
    <t>94201000</t>
  </si>
  <si>
    <t>Buildings &amp; Periodic Service</t>
  </si>
  <si>
    <t>94202000</t>
  </si>
  <si>
    <t>Assessment Quality costs</t>
  </si>
  <si>
    <t>94222000</t>
  </si>
  <si>
    <t>COPA-Marketing</t>
  </si>
  <si>
    <t>94224000</t>
  </si>
  <si>
    <t>COPA -Admin. Overhead</t>
  </si>
  <si>
    <t>94225000</t>
  </si>
  <si>
    <t>COPA -Sales. Overhead</t>
  </si>
  <si>
    <t>COPA-Non-Operating Expense</t>
  </si>
  <si>
    <t>94227000</t>
  </si>
  <si>
    <t>COPA-Non-Operating Income</t>
  </si>
  <si>
    <t>94228000</t>
  </si>
  <si>
    <t>COPA -Taxes</t>
  </si>
  <si>
    <t>94229000</t>
  </si>
  <si>
    <t>COPA -cash Discount</t>
  </si>
  <si>
    <t>94301000</t>
  </si>
  <si>
    <t>Machine hours 1</t>
  </si>
  <si>
    <t>94302000</t>
  </si>
  <si>
    <t>Machine hours 2</t>
  </si>
  <si>
    <t>94303000</t>
  </si>
  <si>
    <t>Setup Production</t>
  </si>
  <si>
    <t>94304000</t>
  </si>
  <si>
    <t>94305000</t>
  </si>
  <si>
    <t>Industry Effluent</t>
  </si>
  <si>
    <t>94306000</t>
  </si>
  <si>
    <t>Environmental</t>
  </si>
  <si>
    <t>94307000</t>
  </si>
  <si>
    <t>Internal Transport</t>
  </si>
  <si>
    <t>94308000</t>
  </si>
  <si>
    <t>Consulting</t>
  </si>
  <si>
    <t>94308100</t>
  </si>
  <si>
    <t>Service Time</t>
  </si>
  <si>
    <t>94308500</t>
  </si>
  <si>
    <t>Activity Unit based Billing</t>
  </si>
  <si>
    <t>94309000</t>
  </si>
  <si>
    <t>Development</t>
  </si>
  <si>
    <t>94310000</t>
  </si>
  <si>
    <t>QM Control</t>
  </si>
  <si>
    <t>94311000</t>
  </si>
  <si>
    <t>Personnel hours</t>
  </si>
  <si>
    <t>97777700</t>
  </si>
  <si>
    <t>ICO Margin</t>
  </si>
  <si>
    <t>98888800</t>
  </si>
  <si>
    <t>ICO Clearing Account - Margin</t>
  </si>
  <si>
    <t>99700055</t>
  </si>
  <si>
    <t>Gen. Mietvertrag Nebenkosten Wasser</t>
  </si>
  <si>
    <t>99700065</t>
  </si>
  <si>
    <t>Gen. Mietvertrag Nebenkosten Reinigung</t>
  </si>
  <si>
    <t>99700080</t>
  </si>
  <si>
    <t>Gen. Mietvertrag Kapitalkosten (WACC)</t>
  </si>
  <si>
    <t>99700090</t>
  </si>
  <si>
    <t>Gen. Mietvertrag Nebenkosten Sonstige</t>
  </si>
  <si>
    <t>99700100</t>
  </si>
  <si>
    <t>Int. Mietvertrag Miete</t>
  </si>
  <si>
    <t>99700120</t>
  </si>
  <si>
    <t>Gen. Mietvertrag Büroarbeit</t>
  </si>
  <si>
    <t>99700140</t>
  </si>
  <si>
    <t>Gen. Mietvertrag Lagern, Verteilen, Verk</t>
  </si>
  <si>
    <t>99700180</t>
  </si>
  <si>
    <t>Gen. Mietvertrag Betriebstechn. Anlagen</t>
  </si>
  <si>
    <t>99700511</t>
  </si>
  <si>
    <t>Gen. Mietvertrag Stellplätze</t>
  </si>
  <si>
    <t>99712030</t>
  </si>
  <si>
    <t>Versorgungsleistung Stromversorgung</t>
  </si>
  <si>
    <t>99712031</t>
  </si>
  <si>
    <t>Versorgungsleistung Netzentg. (Arbeit)</t>
  </si>
  <si>
    <t>99712032</t>
  </si>
  <si>
    <t>Versorgungsleistung Netzentg. (Konzess.)</t>
  </si>
  <si>
    <t>99712033</t>
  </si>
  <si>
    <t>Versorgungsleistung Netzentg. (Leist.)</t>
  </si>
  <si>
    <t>99712034</t>
  </si>
  <si>
    <t>Versorgungsleistung Netzentg. (KWK)</t>
  </si>
  <si>
    <t>99712035</t>
  </si>
  <si>
    <t>Versorgungsleistung Netzentg. (Uml.§17f)</t>
  </si>
  <si>
    <t>99712037</t>
  </si>
  <si>
    <t>Versorgungsleistung Netzentg. (Uml§19.2)</t>
  </si>
  <si>
    <t>99712038</t>
  </si>
  <si>
    <t>Versorgungsleistung Netzentg. (Messk.)</t>
  </si>
  <si>
    <t>99712039</t>
  </si>
  <si>
    <t>Versorgungsleistung Notstrom</t>
  </si>
  <si>
    <t>99713000</t>
  </si>
  <si>
    <t>Stundenverr. Werkstattleistung</t>
  </si>
  <si>
    <t>99720310</t>
  </si>
  <si>
    <t>Pauschalverr. Overhead</t>
  </si>
  <si>
    <t>99747070</t>
  </si>
  <si>
    <t>Auf.abr. RW-Wartung/Insp. Eigenlst.</t>
  </si>
  <si>
    <t>99747100</t>
  </si>
  <si>
    <t>Auf.abr. RW-Instandsetzung Eigenlst.</t>
  </si>
  <si>
    <t>99999900</t>
  </si>
  <si>
    <t>ICO Clearing Account - Consultancy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</si>
</sst>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9"/>
      <color rgb="FFFFFFFF"/>
      <name val="Arial"/>
    </font>
    <font>
      <sz val="9"/>
      <name val="Arial"/>
    </font>
    <font>
      <b/>
      <sz val="14"/>
      <color rgb="FF1F3864"/>
      <name val="Arial"/>
    </font>
    <font>
      <i/>
      <sz val="9"/>
      <name val="Arial"/>
    </font>
    <font>
      <b/>
      <sz val="10"/>
      <color rgb="FF1F3864"/>
      <name val="Arial"/>
    </font>
    <font>
      <b/>
      <sz val="9"/>
      <name val="Arial"/>
    </font>
    <font>
      <i/>
      <sz val="9"/>
      <color rgb="FF595959"/>
      <name val="Arial"/>
    </font>
    <font>
      <i/>
      <sz val="8"/>
      <color rgb="FF595959"/>
      <name val="Arial"/>
    </font>
    <font>
      <b/>
      <sz val="10"/>
      <color rgb="FF0000FF"/>
      <name val="Arial"/>
    </font>
  </fonts>
  <fills count="5">
    <fill>
      <patternFill patternType="none"/>
    </fill>
    <fill>
      <patternFill patternType="gray125"/>
    </fill>
    <fill>
      <patternFill patternType="solid">
        <fgColor rgb="FF1F3864"/>
      </patternFill>
    </fill>
    <fill>
      <patternFill patternType="solid">
        <fgColor rgb="FFD9E1F2"/>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top" wrapText="1"/>
    </xf>
    <xf numFmtId="49" fontId="2" fillId="0" borderId="1" xfId="0" applyNumberFormat="1"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0" xfId="0" applyFont="1"/>
    <xf numFmtId="0" fontId="4" fillId="0" borderId="0" xfId="0" applyFont="1"/>
    <xf numFmtId="0" fontId="5" fillId="3" borderId="0" xfId="0" applyFont="1" applyFill="1"/>
    <xf numFmtId="0" fontId="0" fillId="3" borderId="0" xfId="0" applyFill="1"/>
    <xf numFmtId="0" fontId="6" fillId="0" borderId="0" xfId="0" applyFont="1"/>
    <xf numFmtId="0" fontId="6" fillId="0" borderId="0" xfId="0" applyFont="1" applyAlignment="1">
      <alignment horizontal="right"/>
    </xf>
    <xf numFmtId="0" fontId="2" fillId="0" borderId="0" xfId="0" applyFont="1"/>
    <xf numFmtId="0" fontId="2" fillId="0" borderId="0" xfId="0" applyFont="1" applyAlignment="1">
      <alignment horizontal="right"/>
    </xf>
    <xf numFmtId="0" fontId="7" fillId="0" borderId="0" xfId="0" applyFont="1"/>
    <xf numFmtId="0" fontId="1" fillId="2" borderId="1" xfId="0" applyFont="1" applyFill="1" applyBorder="1" applyAlignment="1">
      <alignment horizontal="center" wrapText="1"/>
    </xf>
    <xf numFmtId="0" fontId="2" fillId="0" borderId="1" xfId="0" applyFont="1" applyBorder="1"/>
    <xf numFmtId="0" fontId="6" fillId="0" borderId="1" xfId="0" applyFont="1" applyBorder="1"/>
    <xf numFmtId="0" fontId="8" fillId="0" borderId="0" xfId="0" applyFont="1"/>
    <xf numFmtId="0" fontId="6" fillId="0" borderId="0" xfId="0" applyFont="1" applyAlignment="1">
      <alignment vertical="top" wrapText="1"/>
    </xf>
    <xf numFmtId="0" fontId="2" fillId="0" borderId="0" xfId="0" applyFont="1" applyAlignment="1">
      <alignment vertical="top" wrapText="1"/>
    </xf>
    <xf numFmtId="49" fontId="9" fillId="4" borderId="1" xfId="0" applyNumberFormat="1" applyFont="1" applyFill="1" applyBorder="1" applyAlignment="1">
      <alignment horizontal="center"/>
    </xf>
    <xf numFmtId="4" fontId="2" fillId="0" borderId="1" xfId="0" applyNumberFormat="1" applyFont="1" applyBorder="1" applyAlignment="1">
      <alignment horizontal="right" vertical="top"/>
    </xf>
    <xf numFmtId="4" fontId="6" fillId="0" borderId="0" xfId="0" applyNumberFormat="1" applyFont="1"/>
    <xf numFmtId="0" fontId="2" fillId="0" borderId="1" xfId="0" applyFont="1" applyBorder="1" applyAlignment="1">
      <alignment vertical="top"/>
    </xf>
    <xf numFmtId="0" fontId="2" fillId="0" borderId="0" xfId="0" applyFont="1" applyAlignment="1">
      <alignment vertical="top" wrapText="1"/>
    </xf>
    <xf numFmtId="0" fontId="0" fillId="0" borderId="0" xfId="0"/>
    <xf numFmtId="0" fontId="4" fillId="0" borderId="0" xfId="0" applyFont="1" applyAlignment="1">
      <alignment vertical="top" wrapText="1"/>
    </xf>
  </cellXfs>
  <cellStyles count="1">
    <cellStyle name="Normal" xfId="0" builtinId="0"/>
  </cellStyles>
  <dxfs count="18">
    <dxf>
      <font>
        <b/>
        <sz val="9"/>
        <color rgb="FF833C0B"/>
        <name val="Arial"/>
      </font>
      <fill>
        <patternFill patternType="solid">
          <fgColor rgb="FFFCE4D6"/>
          <bgColor rgb="FFFCE4D6"/>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
      <font>
        <b/>
        <sz val="9"/>
        <color rgb="FF7F6000"/>
        <name val="Arial"/>
      </font>
      <fill>
        <patternFill patternType="solid">
          <fgColor rgb="FFFFF2CC"/>
          <bgColor rgb="FFFFF2CC"/>
        </patternFill>
      </fill>
    </dxf>
    <dxf>
      <font>
        <b/>
        <sz val="9"/>
        <color rgb="FF833C0B"/>
        <name val="Arial"/>
      </font>
      <fill>
        <patternFill patternType="solid">
          <fgColor rgb="FFFCE4D6"/>
          <bgColor rgb="FFFCE4D6"/>
        </patternFill>
      </fill>
    </dxf>
    <dxf>
      <font>
        <b/>
        <sz val="9"/>
        <color rgb="FF403151"/>
        <name val="Arial"/>
      </font>
      <fill>
        <patternFill patternType="solid">
          <fgColor rgb="FFE4DFEC"/>
          <bgColor rgb="FFE4DFEC"/>
        </patternFill>
      </fill>
    </dxf>
    <dxf>
      <font>
        <b/>
        <sz val="9"/>
        <color rgb="FF1F4E78"/>
        <name val="Arial"/>
      </font>
      <fill>
        <patternFill patternType="solid">
          <fgColor rgb="FFDDEBF7"/>
          <bgColor rgb="FFDDEBF7"/>
        </patternFill>
      </fill>
    </dxf>
    <dxf>
      <font>
        <b/>
        <sz val="9"/>
        <color rgb="FF006100"/>
        <name val="Arial"/>
      </font>
      <fill>
        <patternFill patternType="solid">
          <fgColor rgb="FFC6EFCE"/>
          <bgColor rgb="FFC6EFCE"/>
        </patternFill>
      </fill>
    </dxf>
    <dxf>
      <font>
        <b/>
        <sz val="9"/>
        <color rgb="FF375623"/>
        <name val="Arial"/>
      </font>
      <fill>
        <patternFill patternType="solid">
          <fgColor rgb="FFE2EFDA"/>
          <bgColor rgb="FFE2EFDA"/>
        </patternFill>
      </fill>
    </dxf>
    <dxf>
      <font>
        <b/>
        <sz val="9"/>
        <color rgb="FF833C0B"/>
        <name val="Arial"/>
      </font>
      <fill>
        <patternFill patternType="solid">
          <fgColor rgb="FFFCE4D6"/>
          <bgColor rgb="FFFCE4D6"/>
        </patternFill>
      </fill>
    </dxf>
    <dxf>
      <font>
        <b/>
        <sz val="9"/>
        <color rgb="FF404040"/>
        <name val="Arial"/>
      </font>
      <fill>
        <patternFill patternType="solid">
          <fgColor rgb="FFD9D9D9"/>
          <bgColor rgb="FFD9D9D9"/>
        </patternFill>
      </fill>
    </dxf>
    <dxf>
      <font>
        <b/>
        <sz val="9"/>
        <color rgb="FF595959"/>
        <name val="Arial"/>
      </font>
      <fill>
        <patternFill patternType="solid">
          <fgColor rgb="FFEDEDED"/>
          <bgColor rgb="FFEDEDED"/>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
      <font>
        <b/>
        <sz val="9"/>
        <color rgb="FF404040"/>
        <name val="Arial"/>
      </font>
      <fill>
        <patternFill patternType="solid">
          <fgColor rgb="FFD9D9D9"/>
          <bgColor rgb="FFD9D9D9"/>
        </patternFill>
      </fill>
    </dxf>
    <dxf>
      <font>
        <b/>
        <sz val="9"/>
        <color rgb="FF595959"/>
        <name val="Arial"/>
      </font>
      <fill>
        <patternFill patternType="solid">
          <fgColor rgb="FFEDEDED"/>
          <bgColor rgb="FFEDEDED"/>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N601"/>
  <sheetViews>
    <sheetView workbookViewId="0">
      <pane xSplit="2" ySplit="1" topLeftCell="C2" activePane="bottomRight" state="frozen"/>
      <selection pane="topRight"/>
      <selection pane="bottomLeft"/>
      <selection pane="bottomRight"/>
    </sheetView>
  </sheetViews>
  <sheetFormatPr defaultColWidth="9.140625" defaultRowHeight="15" x14ac:dyDescent="0.25"/>
  <cols>
    <col min="1" max="1" width="11" customWidth="1"/>
    <col min="2" max="2" width="34" customWidth="1"/>
    <col min="3" max="3" width="12" customWidth="1"/>
    <col min="4" max="4" width="32" customWidth="1"/>
    <col min="5" max="5" width="46" customWidth="1"/>
    <col min="6" max="6" width="36" customWidth="1"/>
    <col min="7" max="8" width="15" customWidth="1"/>
    <col min="9" max="9" width="12" customWidth="1"/>
    <col min="10" max="11" width="36" customWidth="1"/>
    <col min="12" max="12" width="95" customWidth="1"/>
    <col min="13" max="13" width="11" customWidth="1"/>
    <col min="14" max="14" width="17" customWidth="1"/>
  </cols>
  <sheetData>
    <row r="1" spans="1:14" ht="6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0" x14ac:dyDescent="0.25">
      <c r="A2" s="2" t="s">
        <v>14</v>
      </c>
      <c r="B2" s="3" t="s">
        <v>15</v>
      </c>
      <c r="C2" s="2" t="s">
        <v>16</v>
      </c>
      <c r="D2" s="3" t="s">
        <v>17</v>
      </c>
      <c r="E2" s="3" t="s">
        <v>18</v>
      </c>
      <c r="F2" s="3" t="s">
        <v>19</v>
      </c>
      <c r="G2" s="4" t="s">
        <v>20</v>
      </c>
      <c r="H2" s="4" t="s">
        <v>20</v>
      </c>
      <c r="I2" s="2" t="s">
        <v>21</v>
      </c>
      <c r="J2" s="3" t="s">
        <v>22</v>
      </c>
      <c r="K2" s="3" t="s">
        <v>23</v>
      </c>
      <c r="L2" s="3" t="s">
        <v>24</v>
      </c>
      <c r="M2" s="4" t="s">
        <v>25</v>
      </c>
      <c r="N2" s="4" t="s">
        <v>26</v>
      </c>
    </row>
    <row r="3" spans="1:14" ht="48" x14ac:dyDescent="0.25">
      <c r="A3" s="2" t="s">
        <v>27</v>
      </c>
      <c r="B3" s="3" t="s">
        <v>28</v>
      </c>
      <c r="C3" s="2" t="s">
        <v>29</v>
      </c>
      <c r="D3" s="3" t="s">
        <v>30</v>
      </c>
      <c r="E3" s="3" t="s">
        <v>31</v>
      </c>
      <c r="F3" s="3" t="s">
        <v>19</v>
      </c>
      <c r="G3" s="4" t="s">
        <v>32</v>
      </c>
      <c r="H3" s="4" t="s">
        <v>20</v>
      </c>
      <c r="I3" s="2"/>
      <c r="J3" s="3"/>
      <c r="K3" s="3"/>
      <c r="L3" s="3" t="s">
        <v>33</v>
      </c>
      <c r="M3" s="4" t="s">
        <v>34</v>
      </c>
      <c r="N3" s="4" t="s">
        <v>35</v>
      </c>
    </row>
    <row r="4" spans="1:14" ht="60" x14ac:dyDescent="0.25">
      <c r="A4" s="2" t="s">
        <v>36</v>
      </c>
      <c r="B4" s="3" t="s">
        <v>37</v>
      </c>
      <c r="C4" s="2" t="s">
        <v>38</v>
      </c>
      <c r="D4" s="3" t="s">
        <v>39</v>
      </c>
      <c r="E4" s="3" t="s">
        <v>40</v>
      </c>
      <c r="F4" s="3" t="s">
        <v>41</v>
      </c>
      <c r="G4" s="4" t="s">
        <v>20</v>
      </c>
      <c r="H4" s="4" t="s">
        <v>20</v>
      </c>
      <c r="I4" s="2" t="s">
        <v>42</v>
      </c>
      <c r="J4" s="3" t="s">
        <v>43</v>
      </c>
      <c r="K4" s="3" t="s">
        <v>19</v>
      </c>
      <c r="L4" s="3" t="s">
        <v>44</v>
      </c>
      <c r="M4" s="4" t="s">
        <v>34</v>
      </c>
      <c r="N4" s="4" t="s">
        <v>26</v>
      </c>
    </row>
    <row r="5" spans="1:14" ht="72" x14ac:dyDescent="0.25">
      <c r="A5" s="2" t="s">
        <v>45</v>
      </c>
      <c r="B5" s="3" t="s">
        <v>46</v>
      </c>
      <c r="C5" s="2" t="s">
        <v>47</v>
      </c>
      <c r="D5" s="3" t="s">
        <v>48</v>
      </c>
      <c r="E5" s="3" t="s">
        <v>49</v>
      </c>
      <c r="F5" s="3" t="s">
        <v>50</v>
      </c>
      <c r="G5" s="4" t="s">
        <v>20</v>
      </c>
      <c r="H5" s="4" t="s">
        <v>32</v>
      </c>
      <c r="I5" s="2" t="s">
        <v>42</v>
      </c>
      <c r="J5" s="3" t="s">
        <v>43</v>
      </c>
      <c r="K5" s="3" t="s">
        <v>19</v>
      </c>
      <c r="L5" s="3" t="s">
        <v>51</v>
      </c>
      <c r="M5" s="4" t="s">
        <v>25</v>
      </c>
      <c r="N5" s="4" t="s">
        <v>26</v>
      </c>
    </row>
    <row r="6" spans="1:14" ht="36" x14ac:dyDescent="0.25">
      <c r="A6" s="2" t="s">
        <v>52</v>
      </c>
      <c r="B6" s="3" t="s">
        <v>53</v>
      </c>
      <c r="C6" s="2" t="s">
        <v>47</v>
      </c>
      <c r="D6" s="3" t="s">
        <v>48</v>
      </c>
      <c r="E6" s="3" t="s">
        <v>54</v>
      </c>
      <c r="F6" s="3" t="s">
        <v>50</v>
      </c>
      <c r="G6" s="4" t="s">
        <v>20</v>
      </c>
      <c r="H6" s="4" t="s">
        <v>32</v>
      </c>
      <c r="I6" s="2" t="s">
        <v>55</v>
      </c>
      <c r="J6" s="3" t="s">
        <v>56</v>
      </c>
      <c r="K6" s="3" t="s">
        <v>19</v>
      </c>
      <c r="L6" s="3" t="s">
        <v>57</v>
      </c>
      <c r="M6" s="4" t="s">
        <v>34</v>
      </c>
      <c r="N6" s="4" t="s">
        <v>26</v>
      </c>
    </row>
    <row r="7" spans="1:14" ht="60" x14ac:dyDescent="0.25">
      <c r="A7" s="2" t="s">
        <v>58</v>
      </c>
      <c r="B7" s="3" t="s">
        <v>59</v>
      </c>
      <c r="C7" s="2" t="s">
        <v>55</v>
      </c>
      <c r="D7" s="3" t="s">
        <v>60</v>
      </c>
      <c r="E7" s="3" t="s">
        <v>61</v>
      </c>
      <c r="F7" s="3" t="s">
        <v>19</v>
      </c>
      <c r="G7" s="4" t="s">
        <v>32</v>
      </c>
      <c r="H7" s="4" t="s">
        <v>32</v>
      </c>
      <c r="I7" s="2" t="s">
        <v>55</v>
      </c>
      <c r="J7" s="3" t="s">
        <v>56</v>
      </c>
      <c r="K7" s="3" t="s">
        <v>19</v>
      </c>
      <c r="L7" s="3" t="s">
        <v>62</v>
      </c>
      <c r="M7" s="4" t="s">
        <v>34</v>
      </c>
      <c r="N7" s="4" t="s">
        <v>63</v>
      </c>
    </row>
    <row r="8" spans="1:14" ht="72" x14ac:dyDescent="0.25">
      <c r="A8" s="2" t="s">
        <v>64</v>
      </c>
      <c r="B8" s="3" t="s">
        <v>65</v>
      </c>
      <c r="C8" s="2" t="s">
        <v>66</v>
      </c>
      <c r="D8" s="3"/>
      <c r="E8" s="3" t="s">
        <v>67</v>
      </c>
      <c r="F8" s="3"/>
      <c r="G8" s="4" t="s">
        <v>68</v>
      </c>
      <c r="H8" s="4" t="s">
        <v>68</v>
      </c>
      <c r="I8" s="2" t="s">
        <v>69</v>
      </c>
      <c r="J8" s="3" t="s">
        <v>70</v>
      </c>
      <c r="K8" s="3" t="s">
        <v>19</v>
      </c>
      <c r="L8" s="3" t="s">
        <v>71</v>
      </c>
      <c r="M8" s="4" t="s">
        <v>25</v>
      </c>
      <c r="N8" s="4" t="s">
        <v>26</v>
      </c>
    </row>
    <row r="9" spans="1:14" ht="48" x14ac:dyDescent="0.25">
      <c r="A9" s="2" t="s">
        <v>72</v>
      </c>
      <c r="B9" s="3" t="s">
        <v>73</v>
      </c>
      <c r="C9" s="2" t="s">
        <v>66</v>
      </c>
      <c r="D9" s="3"/>
      <c r="E9" s="3" t="s">
        <v>74</v>
      </c>
      <c r="F9" s="3"/>
      <c r="G9" s="4" t="s">
        <v>68</v>
      </c>
      <c r="H9" s="4" t="s">
        <v>68</v>
      </c>
      <c r="I9" s="2" t="s">
        <v>69</v>
      </c>
      <c r="J9" s="3" t="s">
        <v>70</v>
      </c>
      <c r="K9" s="3" t="s">
        <v>19</v>
      </c>
      <c r="L9" s="3" t="s">
        <v>75</v>
      </c>
      <c r="M9" s="4" t="s">
        <v>34</v>
      </c>
      <c r="N9" s="4" t="s">
        <v>26</v>
      </c>
    </row>
    <row r="10" spans="1:14" ht="60" x14ac:dyDescent="0.25">
      <c r="A10" s="2" t="s">
        <v>76</v>
      </c>
      <c r="B10" s="3" t="s">
        <v>77</v>
      </c>
      <c r="C10" s="2" t="s">
        <v>78</v>
      </c>
      <c r="D10" s="3" t="s">
        <v>77</v>
      </c>
      <c r="E10" s="3" t="s">
        <v>79</v>
      </c>
      <c r="F10" s="3" t="s">
        <v>19</v>
      </c>
      <c r="G10" s="4" t="s">
        <v>32</v>
      </c>
      <c r="H10" s="4" t="s">
        <v>32</v>
      </c>
      <c r="I10" s="2" t="s">
        <v>78</v>
      </c>
      <c r="J10" s="3" t="s">
        <v>80</v>
      </c>
      <c r="K10" s="3" t="s">
        <v>19</v>
      </c>
      <c r="L10" s="3" t="s">
        <v>81</v>
      </c>
      <c r="M10" s="4" t="s">
        <v>34</v>
      </c>
      <c r="N10" s="4" t="s">
        <v>63</v>
      </c>
    </row>
    <row r="11" spans="1:14" ht="36" x14ac:dyDescent="0.25">
      <c r="A11" s="2" t="s">
        <v>82</v>
      </c>
      <c r="B11" s="3" t="s">
        <v>83</v>
      </c>
      <c r="C11" s="2" t="s">
        <v>84</v>
      </c>
      <c r="D11" s="3" t="s">
        <v>85</v>
      </c>
      <c r="E11" s="3" t="s">
        <v>86</v>
      </c>
      <c r="F11" s="3" t="s">
        <v>19</v>
      </c>
      <c r="G11" s="4" t="s">
        <v>32</v>
      </c>
      <c r="H11" s="4" t="s">
        <v>32</v>
      </c>
      <c r="I11" s="2" t="s">
        <v>84</v>
      </c>
      <c r="J11" s="3" t="s">
        <v>87</v>
      </c>
      <c r="K11" s="3" t="s">
        <v>19</v>
      </c>
      <c r="L11" s="3" t="s">
        <v>88</v>
      </c>
      <c r="M11" s="4" t="s">
        <v>34</v>
      </c>
      <c r="N11" s="4" t="s">
        <v>63</v>
      </c>
    </row>
    <row r="12" spans="1:14" ht="36" x14ac:dyDescent="0.25">
      <c r="A12" s="2" t="s">
        <v>89</v>
      </c>
      <c r="B12" s="3" t="s">
        <v>90</v>
      </c>
      <c r="C12" s="2" t="s">
        <v>91</v>
      </c>
      <c r="D12" s="3" t="s">
        <v>92</v>
      </c>
      <c r="E12" s="3" t="s">
        <v>93</v>
      </c>
      <c r="F12" s="3" t="s">
        <v>94</v>
      </c>
      <c r="G12" s="4" t="s">
        <v>32</v>
      </c>
      <c r="H12" s="4" t="s">
        <v>32</v>
      </c>
      <c r="I12" s="2" t="s">
        <v>91</v>
      </c>
      <c r="J12" s="3" t="s">
        <v>95</v>
      </c>
      <c r="K12" s="3" t="s">
        <v>94</v>
      </c>
      <c r="L12" s="3" t="s">
        <v>96</v>
      </c>
      <c r="M12" s="4" t="s">
        <v>34</v>
      </c>
      <c r="N12" s="4" t="s">
        <v>63</v>
      </c>
    </row>
    <row r="13" spans="1:14" ht="36" x14ac:dyDescent="0.25">
      <c r="A13" s="2" t="s">
        <v>97</v>
      </c>
      <c r="B13" s="3" t="s">
        <v>98</v>
      </c>
      <c r="C13" s="2" t="s">
        <v>91</v>
      </c>
      <c r="D13" s="3" t="s">
        <v>92</v>
      </c>
      <c r="E13" s="3" t="s">
        <v>93</v>
      </c>
      <c r="F13" s="3" t="s">
        <v>94</v>
      </c>
      <c r="G13" s="4" t="s">
        <v>32</v>
      </c>
      <c r="H13" s="4" t="s">
        <v>32</v>
      </c>
      <c r="I13" s="2" t="s">
        <v>91</v>
      </c>
      <c r="J13" s="3" t="s">
        <v>95</v>
      </c>
      <c r="K13" s="3" t="s">
        <v>94</v>
      </c>
      <c r="L13" s="3" t="s">
        <v>96</v>
      </c>
      <c r="M13" s="4" t="s">
        <v>34</v>
      </c>
      <c r="N13" s="4" t="s">
        <v>63</v>
      </c>
    </row>
    <row r="14" spans="1:14" ht="36" x14ac:dyDescent="0.25">
      <c r="A14" s="2" t="s">
        <v>99</v>
      </c>
      <c r="B14" s="3" t="s">
        <v>100</v>
      </c>
      <c r="C14" s="2" t="s">
        <v>91</v>
      </c>
      <c r="D14" s="3" t="s">
        <v>92</v>
      </c>
      <c r="E14" s="3" t="s">
        <v>93</v>
      </c>
      <c r="F14" s="3" t="s">
        <v>94</v>
      </c>
      <c r="G14" s="4" t="s">
        <v>32</v>
      </c>
      <c r="H14" s="4" t="s">
        <v>32</v>
      </c>
      <c r="I14" s="2" t="s">
        <v>91</v>
      </c>
      <c r="J14" s="3" t="s">
        <v>95</v>
      </c>
      <c r="K14" s="3" t="s">
        <v>94</v>
      </c>
      <c r="L14" s="3" t="s">
        <v>96</v>
      </c>
      <c r="M14" s="4" t="s">
        <v>34</v>
      </c>
      <c r="N14" s="4" t="s">
        <v>63</v>
      </c>
    </row>
    <row r="15" spans="1:14" ht="36" x14ac:dyDescent="0.25">
      <c r="A15" s="2" t="s">
        <v>101</v>
      </c>
      <c r="B15" s="3" t="s">
        <v>102</v>
      </c>
      <c r="C15" s="2" t="s">
        <v>91</v>
      </c>
      <c r="D15" s="3" t="s">
        <v>92</v>
      </c>
      <c r="E15" s="3" t="s">
        <v>93</v>
      </c>
      <c r="F15" s="3" t="s">
        <v>94</v>
      </c>
      <c r="G15" s="4" t="s">
        <v>32</v>
      </c>
      <c r="H15" s="4" t="s">
        <v>32</v>
      </c>
      <c r="I15" s="2" t="s">
        <v>91</v>
      </c>
      <c r="J15" s="3" t="s">
        <v>95</v>
      </c>
      <c r="K15" s="3" t="s">
        <v>94</v>
      </c>
      <c r="L15" s="3" t="s">
        <v>96</v>
      </c>
      <c r="M15" s="4" t="s">
        <v>34</v>
      </c>
      <c r="N15" s="4" t="s">
        <v>63</v>
      </c>
    </row>
    <row r="16" spans="1:14" ht="48" x14ac:dyDescent="0.25">
      <c r="A16" s="2" t="s">
        <v>103</v>
      </c>
      <c r="B16" s="3" t="s">
        <v>104</v>
      </c>
      <c r="C16" s="2" t="s">
        <v>91</v>
      </c>
      <c r="D16" s="3" t="s">
        <v>92</v>
      </c>
      <c r="E16" s="3" t="s">
        <v>105</v>
      </c>
      <c r="F16" s="3" t="s">
        <v>94</v>
      </c>
      <c r="G16" s="4" t="s">
        <v>20</v>
      </c>
      <c r="H16" s="4" t="s">
        <v>20</v>
      </c>
      <c r="I16" s="2" t="s">
        <v>106</v>
      </c>
      <c r="J16" s="3" t="s">
        <v>107</v>
      </c>
      <c r="K16" s="3" t="s">
        <v>94</v>
      </c>
      <c r="L16" s="3" t="s">
        <v>108</v>
      </c>
      <c r="M16" s="4" t="s">
        <v>25</v>
      </c>
      <c r="N16" s="4" t="s">
        <v>26</v>
      </c>
    </row>
    <row r="17" spans="1:14" ht="48" x14ac:dyDescent="0.25">
      <c r="A17" s="2" t="s">
        <v>109</v>
      </c>
      <c r="B17" s="3" t="s">
        <v>110</v>
      </c>
      <c r="C17" s="2" t="s">
        <v>91</v>
      </c>
      <c r="D17" s="3" t="s">
        <v>92</v>
      </c>
      <c r="E17" s="3" t="s">
        <v>105</v>
      </c>
      <c r="F17" s="3" t="s">
        <v>94</v>
      </c>
      <c r="G17" s="4" t="s">
        <v>20</v>
      </c>
      <c r="H17" s="4" t="s">
        <v>20</v>
      </c>
      <c r="I17" s="2" t="s">
        <v>106</v>
      </c>
      <c r="J17" s="3" t="s">
        <v>107</v>
      </c>
      <c r="K17" s="3" t="s">
        <v>94</v>
      </c>
      <c r="L17" s="3" t="s">
        <v>108</v>
      </c>
      <c r="M17" s="4" t="s">
        <v>25</v>
      </c>
      <c r="N17" s="4" t="s">
        <v>26</v>
      </c>
    </row>
    <row r="18" spans="1:14" ht="48" x14ac:dyDescent="0.25">
      <c r="A18" s="2" t="s">
        <v>111</v>
      </c>
      <c r="B18" s="3" t="s">
        <v>112</v>
      </c>
      <c r="C18" s="2" t="s">
        <v>91</v>
      </c>
      <c r="D18" s="3" t="s">
        <v>92</v>
      </c>
      <c r="E18" s="3" t="s">
        <v>105</v>
      </c>
      <c r="F18" s="3" t="s">
        <v>94</v>
      </c>
      <c r="G18" s="4" t="s">
        <v>20</v>
      </c>
      <c r="H18" s="4" t="s">
        <v>20</v>
      </c>
      <c r="I18" s="2" t="s">
        <v>106</v>
      </c>
      <c r="J18" s="3" t="s">
        <v>107</v>
      </c>
      <c r="K18" s="3" t="s">
        <v>94</v>
      </c>
      <c r="L18" s="3" t="s">
        <v>108</v>
      </c>
      <c r="M18" s="4" t="s">
        <v>25</v>
      </c>
      <c r="N18" s="4" t="s">
        <v>26</v>
      </c>
    </row>
    <row r="19" spans="1:14" ht="60" x14ac:dyDescent="0.25">
      <c r="A19" s="2" t="s">
        <v>113</v>
      </c>
      <c r="B19" s="3" t="s">
        <v>114</v>
      </c>
      <c r="C19" s="2" t="s">
        <v>115</v>
      </c>
      <c r="D19" s="3" t="s">
        <v>116</v>
      </c>
      <c r="E19" s="3" t="s">
        <v>117</v>
      </c>
      <c r="F19" s="3" t="s">
        <v>41</v>
      </c>
      <c r="G19" s="4" t="s">
        <v>32</v>
      </c>
      <c r="H19" s="4" t="s">
        <v>20</v>
      </c>
      <c r="I19" s="2"/>
      <c r="J19" s="3"/>
      <c r="K19" s="3"/>
      <c r="L19" s="3" t="s">
        <v>118</v>
      </c>
      <c r="M19" s="4" t="s">
        <v>25</v>
      </c>
      <c r="N19" s="4" t="s">
        <v>35</v>
      </c>
    </row>
    <row r="20" spans="1:14" ht="24" x14ac:dyDescent="0.25">
      <c r="A20" s="2" t="s">
        <v>119</v>
      </c>
      <c r="B20" s="3" t="s">
        <v>120</v>
      </c>
      <c r="C20" s="2" t="s">
        <v>66</v>
      </c>
      <c r="D20" s="3"/>
      <c r="E20" s="3" t="s">
        <v>121</v>
      </c>
      <c r="F20" s="3"/>
      <c r="G20" s="4" t="s">
        <v>68</v>
      </c>
      <c r="H20" s="4" t="s">
        <v>68</v>
      </c>
      <c r="I20" s="2" t="s">
        <v>122</v>
      </c>
      <c r="J20" s="3" t="s">
        <v>123</v>
      </c>
      <c r="K20" s="3" t="s">
        <v>94</v>
      </c>
      <c r="L20" s="3" t="s">
        <v>124</v>
      </c>
      <c r="M20" s="4" t="s">
        <v>34</v>
      </c>
      <c r="N20" s="4" t="s">
        <v>26</v>
      </c>
    </row>
    <row r="21" spans="1:14" ht="36" x14ac:dyDescent="0.25">
      <c r="A21" s="2" t="s">
        <v>125</v>
      </c>
      <c r="B21" s="3" t="s">
        <v>126</v>
      </c>
      <c r="C21" s="2" t="s">
        <v>127</v>
      </c>
      <c r="D21" s="3" t="s">
        <v>128</v>
      </c>
      <c r="E21" s="3" t="s">
        <v>129</v>
      </c>
      <c r="F21" s="3" t="s">
        <v>50</v>
      </c>
      <c r="G21" s="4" t="s">
        <v>20</v>
      </c>
      <c r="H21" s="4" t="s">
        <v>20</v>
      </c>
      <c r="I21" s="2" t="s">
        <v>130</v>
      </c>
      <c r="J21" s="3" t="s">
        <v>131</v>
      </c>
      <c r="K21" s="3" t="s">
        <v>132</v>
      </c>
      <c r="L21" s="3" t="s">
        <v>133</v>
      </c>
      <c r="M21" s="4" t="s">
        <v>25</v>
      </c>
      <c r="N21" s="4" t="s">
        <v>26</v>
      </c>
    </row>
    <row r="22" spans="1:14" ht="48" x14ac:dyDescent="0.25">
      <c r="A22" s="2" t="s">
        <v>134</v>
      </c>
      <c r="B22" s="3" t="s">
        <v>135</v>
      </c>
      <c r="C22" s="2" t="s">
        <v>136</v>
      </c>
      <c r="D22" s="3" t="s">
        <v>137</v>
      </c>
      <c r="E22" s="3" t="s">
        <v>129</v>
      </c>
      <c r="F22" s="3" t="s">
        <v>138</v>
      </c>
      <c r="G22" s="4" t="s">
        <v>20</v>
      </c>
      <c r="H22" s="4" t="s">
        <v>20</v>
      </c>
      <c r="I22" s="2" t="s">
        <v>139</v>
      </c>
      <c r="J22" s="3" t="s">
        <v>140</v>
      </c>
      <c r="K22" s="3" t="s">
        <v>132</v>
      </c>
      <c r="L22" s="3" t="s">
        <v>141</v>
      </c>
      <c r="M22" s="4" t="s">
        <v>34</v>
      </c>
      <c r="N22" s="4" t="s">
        <v>26</v>
      </c>
    </row>
    <row r="23" spans="1:14" ht="48" x14ac:dyDescent="0.25">
      <c r="A23" s="2" t="s">
        <v>142</v>
      </c>
      <c r="B23" s="3" t="s">
        <v>143</v>
      </c>
      <c r="C23" s="2" t="s">
        <v>136</v>
      </c>
      <c r="D23" s="3" t="s">
        <v>137</v>
      </c>
      <c r="E23" s="3" t="s">
        <v>129</v>
      </c>
      <c r="F23" s="3" t="s">
        <v>138</v>
      </c>
      <c r="G23" s="4" t="s">
        <v>20</v>
      </c>
      <c r="H23" s="4" t="s">
        <v>20</v>
      </c>
      <c r="I23" s="2" t="s">
        <v>139</v>
      </c>
      <c r="J23" s="3" t="s">
        <v>140</v>
      </c>
      <c r="K23" s="3" t="s">
        <v>132</v>
      </c>
      <c r="L23" s="3" t="s">
        <v>141</v>
      </c>
      <c r="M23" s="4" t="s">
        <v>34</v>
      </c>
      <c r="N23" s="4" t="s">
        <v>26</v>
      </c>
    </row>
    <row r="24" spans="1:14" ht="48" x14ac:dyDescent="0.25">
      <c r="A24" s="2" t="s">
        <v>144</v>
      </c>
      <c r="B24" s="3" t="s">
        <v>145</v>
      </c>
      <c r="C24" s="2" t="s">
        <v>146</v>
      </c>
      <c r="D24" s="3" t="s">
        <v>147</v>
      </c>
      <c r="E24" s="3" t="s">
        <v>129</v>
      </c>
      <c r="F24" s="3" t="s">
        <v>148</v>
      </c>
      <c r="G24" s="4" t="s">
        <v>20</v>
      </c>
      <c r="H24" s="4" t="s">
        <v>20</v>
      </c>
      <c r="I24" s="2" t="s">
        <v>139</v>
      </c>
      <c r="J24" s="3" t="s">
        <v>140</v>
      </c>
      <c r="K24" s="3" t="s">
        <v>132</v>
      </c>
      <c r="L24" s="3" t="s">
        <v>149</v>
      </c>
      <c r="M24" s="4" t="s">
        <v>34</v>
      </c>
      <c r="N24" s="4" t="s">
        <v>26</v>
      </c>
    </row>
    <row r="25" spans="1:14" ht="48" x14ac:dyDescent="0.25">
      <c r="A25" s="2" t="s">
        <v>150</v>
      </c>
      <c r="B25" s="3" t="s">
        <v>151</v>
      </c>
      <c r="C25" s="2" t="s">
        <v>136</v>
      </c>
      <c r="D25" s="3" t="s">
        <v>137</v>
      </c>
      <c r="E25" s="3" t="s">
        <v>129</v>
      </c>
      <c r="F25" s="3" t="s">
        <v>138</v>
      </c>
      <c r="G25" s="4" t="s">
        <v>20</v>
      </c>
      <c r="H25" s="4" t="s">
        <v>20</v>
      </c>
      <c r="I25" s="2" t="s">
        <v>139</v>
      </c>
      <c r="J25" s="3" t="s">
        <v>140</v>
      </c>
      <c r="K25" s="3" t="s">
        <v>132</v>
      </c>
      <c r="L25" s="3" t="s">
        <v>141</v>
      </c>
      <c r="M25" s="4" t="s">
        <v>34</v>
      </c>
      <c r="N25" s="4" t="s">
        <v>26</v>
      </c>
    </row>
    <row r="26" spans="1:14" ht="48" x14ac:dyDescent="0.25">
      <c r="A26" s="2" t="s">
        <v>152</v>
      </c>
      <c r="B26" s="3" t="s">
        <v>153</v>
      </c>
      <c r="C26" s="2" t="s">
        <v>136</v>
      </c>
      <c r="D26" s="3" t="s">
        <v>137</v>
      </c>
      <c r="E26" s="3" t="s">
        <v>129</v>
      </c>
      <c r="F26" s="3" t="s">
        <v>138</v>
      </c>
      <c r="G26" s="4" t="s">
        <v>20</v>
      </c>
      <c r="H26" s="4" t="s">
        <v>20</v>
      </c>
      <c r="I26" s="2" t="s">
        <v>139</v>
      </c>
      <c r="J26" s="3" t="s">
        <v>140</v>
      </c>
      <c r="K26" s="3" t="s">
        <v>132</v>
      </c>
      <c r="L26" s="3" t="s">
        <v>141</v>
      </c>
      <c r="M26" s="4" t="s">
        <v>34</v>
      </c>
      <c r="N26" s="4" t="s">
        <v>26</v>
      </c>
    </row>
    <row r="27" spans="1:14" ht="48" x14ac:dyDescent="0.25">
      <c r="A27" s="2" t="s">
        <v>154</v>
      </c>
      <c r="B27" s="3" t="s">
        <v>155</v>
      </c>
      <c r="C27" s="2" t="s">
        <v>136</v>
      </c>
      <c r="D27" s="3" t="s">
        <v>137</v>
      </c>
      <c r="E27" s="3" t="s">
        <v>129</v>
      </c>
      <c r="F27" s="3" t="s">
        <v>138</v>
      </c>
      <c r="G27" s="4" t="s">
        <v>20</v>
      </c>
      <c r="H27" s="4" t="s">
        <v>20</v>
      </c>
      <c r="I27" s="2" t="s">
        <v>139</v>
      </c>
      <c r="J27" s="3" t="s">
        <v>140</v>
      </c>
      <c r="K27" s="3" t="s">
        <v>132</v>
      </c>
      <c r="L27" s="3" t="s">
        <v>141</v>
      </c>
      <c r="M27" s="4" t="s">
        <v>34</v>
      </c>
      <c r="N27" s="4" t="s">
        <v>26</v>
      </c>
    </row>
    <row r="28" spans="1:14" ht="48" x14ac:dyDescent="0.25">
      <c r="A28" s="2" t="s">
        <v>156</v>
      </c>
      <c r="B28" s="3" t="s">
        <v>157</v>
      </c>
      <c r="C28" s="2" t="s">
        <v>136</v>
      </c>
      <c r="D28" s="3" t="s">
        <v>137</v>
      </c>
      <c r="E28" s="3" t="s">
        <v>129</v>
      </c>
      <c r="F28" s="3" t="s">
        <v>138</v>
      </c>
      <c r="G28" s="4" t="s">
        <v>20</v>
      </c>
      <c r="H28" s="4" t="s">
        <v>20</v>
      </c>
      <c r="I28" s="2" t="s">
        <v>139</v>
      </c>
      <c r="J28" s="3" t="s">
        <v>140</v>
      </c>
      <c r="K28" s="3" t="s">
        <v>132</v>
      </c>
      <c r="L28" s="3" t="s">
        <v>141</v>
      </c>
      <c r="M28" s="4" t="s">
        <v>34</v>
      </c>
      <c r="N28" s="4" t="s">
        <v>26</v>
      </c>
    </row>
    <row r="29" spans="1:14" ht="48" x14ac:dyDescent="0.25">
      <c r="A29" s="2" t="s">
        <v>158</v>
      </c>
      <c r="B29" s="3" t="s">
        <v>159</v>
      </c>
      <c r="C29" s="2" t="s">
        <v>136</v>
      </c>
      <c r="D29" s="3" t="s">
        <v>137</v>
      </c>
      <c r="E29" s="3" t="s">
        <v>129</v>
      </c>
      <c r="F29" s="3" t="s">
        <v>138</v>
      </c>
      <c r="G29" s="4" t="s">
        <v>20</v>
      </c>
      <c r="H29" s="4" t="s">
        <v>20</v>
      </c>
      <c r="I29" s="2" t="s">
        <v>139</v>
      </c>
      <c r="J29" s="3" t="s">
        <v>140</v>
      </c>
      <c r="K29" s="3" t="s">
        <v>132</v>
      </c>
      <c r="L29" s="3" t="s">
        <v>141</v>
      </c>
      <c r="M29" s="4" t="s">
        <v>34</v>
      </c>
      <c r="N29" s="4" t="s">
        <v>26</v>
      </c>
    </row>
    <row r="30" spans="1:14" ht="48" x14ac:dyDescent="0.25">
      <c r="A30" s="2" t="s">
        <v>160</v>
      </c>
      <c r="B30" s="3" t="s">
        <v>161</v>
      </c>
      <c r="C30" s="2" t="s">
        <v>162</v>
      </c>
      <c r="D30" s="3" t="s">
        <v>163</v>
      </c>
      <c r="E30" s="3" t="s">
        <v>129</v>
      </c>
      <c r="F30" s="3" t="s">
        <v>164</v>
      </c>
      <c r="G30" s="4" t="s">
        <v>20</v>
      </c>
      <c r="H30" s="4" t="s">
        <v>20</v>
      </c>
      <c r="I30" s="2" t="s">
        <v>139</v>
      </c>
      <c r="J30" s="3" t="s">
        <v>140</v>
      </c>
      <c r="K30" s="3" t="s">
        <v>132</v>
      </c>
      <c r="L30" s="3" t="s">
        <v>165</v>
      </c>
      <c r="M30" s="4" t="s">
        <v>34</v>
      </c>
      <c r="N30" s="4" t="s">
        <v>26</v>
      </c>
    </row>
    <row r="31" spans="1:14" ht="48" x14ac:dyDescent="0.25">
      <c r="A31" s="2" t="s">
        <v>166</v>
      </c>
      <c r="B31" s="3" t="s">
        <v>167</v>
      </c>
      <c r="C31" s="2" t="s">
        <v>168</v>
      </c>
      <c r="D31" s="3" t="s">
        <v>169</v>
      </c>
      <c r="E31" s="3" t="s">
        <v>170</v>
      </c>
      <c r="F31" s="3" t="s">
        <v>171</v>
      </c>
      <c r="G31" s="4" t="s">
        <v>20</v>
      </c>
      <c r="H31" s="4" t="s">
        <v>20</v>
      </c>
      <c r="I31" s="2" t="s">
        <v>172</v>
      </c>
      <c r="J31" s="3" t="s">
        <v>173</v>
      </c>
      <c r="K31" s="3" t="s">
        <v>174</v>
      </c>
      <c r="L31" s="3" t="s">
        <v>175</v>
      </c>
      <c r="M31" s="4" t="s">
        <v>25</v>
      </c>
      <c r="N31" s="4" t="s">
        <v>26</v>
      </c>
    </row>
    <row r="32" spans="1:14" ht="48" x14ac:dyDescent="0.25">
      <c r="A32" s="2" t="s">
        <v>176</v>
      </c>
      <c r="B32" s="3" t="s">
        <v>177</v>
      </c>
      <c r="C32" s="2" t="s">
        <v>66</v>
      </c>
      <c r="D32" s="3"/>
      <c r="E32" s="3" t="s">
        <v>129</v>
      </c>
      <c r="F32" s="3"/>
      <c r="G32" s="4" t="s">
        <v>68</v>
      </c>
      <c r="H32" s="4" t="s">
        <v>68</v>
      </c>
      <c r="I32" s="2" t="s">
        <v>139</v>
      </c>
      <c r="J32" s="3" t="s">
        <v>140</v>
      </c>
      <c r="K32" s="3" t="s">
        <v>132</v>
      </c>
      <c r="L32" s="3" t="s">
        <v>178</v>
      </c>
      <c r="M32" s="4" t="s">
        <v>34</v>
      </c>
      <c r="N32" s="4" t="s">
        <v>26</v>
      </c>
    </row>
    <row r="33" spans="1:14" ht="48" x14ac:dyDescent="0.25">
      <c r="A33" s="2" t="s">
        <v>179</v>
      </c>
      <c r="B33" s="3" t="s">
        <v>180</v>
      </c>
      <c r="C33" s="2" t="s">
        <v>136</v>
      </c>
      <c r="D33" s="3" t="s">
        <v>137</v>
      </c>
      <c r="E33" s="3" t="s">
        <v>129</v>
      </c>
      <c r="F33" s="3" t="s">
        <v>138</v>
      </c>
      <c r="G33" s="4" t="s">
        <v>20</v>
      </c>
      <c r="H33" s="4" t="s">
        <v>20</v>
      </c>
      <c r="I33" s="2" t="s">
        <v>139</v>
      </c>
      <c r="J33" s="3" t="s">
        <v>140</v>
      </c>
      <c r="K33" s="3" t="s">
        <v>132</v>
      </c>
      <c r="L33" s="3" t="s">
        <v>141</v>
      </c>
      <c r="M33" s="4" t="s">
        <v>34</v>
      </c>
      <c r="N33" s="4" t="s">
        <v>26</v>
      </c>
    </row>
    <row r="34" spans="1:14" ht="48" x14ac:dyDescent="0.25">
      <c r="A34" s="2" t="s">
        <v>181</v>
      </c>
      <c r="B34" s="3" t="s">
        <v>182</v>
      </c>
      <c r="C34" s="2" t="s">
        <v>66</v>
      </c>
      <c r="D34" s="3"/>
      <c r="E34" s="3" t="s">
        <v>129</v>
      </c>
      <c r="F34" s="3"/>
      <c r="G34" s="4" t="s">
        <v>68</v>
      </c>
      <c r="H34" s="4" t="s">
        <v>68</v>
      </c>
      <c r="I34" s="2" t="s">
        <v>139</v>
      </c>
      <c r="J34" s="3" t="s">
        <v>140</v>
      </c>
      <c r="K34" s="3" t="s">
        <v>132</v>
      </c>
      <c r="L34" s="3" t="s">
        <v>178</v>
      </c>
      <c r="M34" s="4" t="s">
        <v>34</v>
      </c>
      <c r="N34" s="4" t="s">
        <v>26</v>
      </c>
    </row>
    <row r="35" spans="1:14" ht="48" x14ac:dyDescent="0.25">
      <c r="A35" s="2" t="s">
        <v>183</v>
      </c>
      <c r="B35" s="3" t="s">
        <v>184</v>
      </c>
      <c r="C35" s="2" t="s">
        <v>66</v>
      </c>
      <c r="D35" s="3"/>
      <c r="E35" s="3" t="s">
        <v>129</v>
      </c>
      <c r="F35" s="3"/>
      <c r="G35" s="4" t="s">
        <v>68</v>
      </c>
      <c r="H35" s="4" t="s">
        <v>68</v>
      </c>
      <c r="I35" s="2" t="s">
        <v>139</v>
      </c>
      <c r="J35" s="3" t="s">
        <v>140</v>
      </c>
      <c r="K35" s="3" t="s">
        <v>132</v>
      </c>
      <c r="L35" s="3" t="s">
        <v>178</v>
      </c>
      <c r="M35" s="4" t="s">
        <v>34</v>
      </c>
      <c r="N35" s="4" t="s">
        <v>26</v>
      </c>
    </row>
    <row r="36" spans="1:14" ht="48" x14ac:dyDescent="0.25">
      <c r="A36" s="2" t="s">
        <v>185</v>
      </c>
      <c r="B36" s="3" t="s">
        <v>186</v>
      </c>
      <c r="C36" s="2" t="s">
        <v>136</v>
      </c>
      <c r="D36" s="3" t="s">
        <v>137</v>
      </c>
      <c r="E36" s="3" t="s">
        <v>129</v>
      </c>
      <c r="F36" s="3" t="s">
        <v>138</v>
      </c>
      <c r="G36" s="4" t="s">
        <v>20</v>
      </c>
      <c r="H36" s="4" t="s">
        <v>20</v>
      </c>
      <c r="I36" s="2" t="s">
        <v>139</v>
      </c>
      <c r="J36" s="3" t="s">
        <v>140</v>
      </c>
      <c r="K36" s="3" t="s">
        <v>132</v>
      </c>
      <c r="L36" s="3" t="s">
        <v>141</v>
      </c>
      <c r="M36" s="4" t="s">
        <v>34</v>
      </c>
      <c r="N36" s="4" t="s">
        <v>26</v>
      </c>
    </row>
    <row r="37" spans="1:14" ht="72" x14ac:dyDescent="0.25">
      <c r="A37" s="2" t="s">
        <v>187</v>
      </c>
      <c r="B37" s="3" t="s">
        <v>188</v>
      </c>
      <c r="C37" s="2" t="s">
        <v>66</v>
      </c>
      <c r="D37" s="3"/>
      <c r="E37" s="3" t="s">
        <v>129</v>
      </c>
      <c r="F37" s="3"/>
      <c r="G37" s="4" t="s">
        <v>68</v>
      </c>
      <c r="H37" s="4" t="s">
        <v>68</v>
      </c>
      <c r="I37" s="2" t="s">
        <v>139</v>
      </c>
      <c r="J37" s="3" t="s">
        <v>140</v>
      </c>
      <c r="K37" s="3" t="s">
        <v>132</v>
      </c>
      <c r="L37" s="3" t="s">
        <v>189</v>
      </c>
      <c r="M37" s="4" t="s">
        <v>25</v>
      </c>
      <c r="N37" s="4" t="s">
        <v>26</v>
      </c>
    </row>
    <row r="38" spans="1:14" ht="48" x14ac:dyDescent="0.25">
      <c r="A38" s="2" t="s">
        <v>190</v>
      </c>
      <c r="B38" s="3" t="s">
        <v>191</v>
      </c>
      <c r="C38" s="2" t="s">
        <v>66</v>
      </c>
      <c r="D38" s="3"/>
      <c r="E38" s="3" t="s">
        <v>129</v>
      </c>
      <c r="F38" s="3"/>
      <c r="G38" s="4" t="s">
        <v>68</v>
      </c>
      <c r="H38" s="4" t="s">
        <v>68</v>
      </c>
      <c r="I38" s="2" t="s">
        <v>139</v>
      </c>
      <c r="J38" s="3" t="s">
        <v>140</v>
      </c>
      <c r="K38" s="3" t="s">
        <v>132</v>
      </c>
      <c r="L38" s="3" t="s">
        <v>178</v>
      </c>
      <c r="M38" s="4" t="s">
        <v>34</v>
      </c>
      <c r="N38" s="4" t="s">
        <v>26</v>
      </c>
    </row>
    <row r="39" spans="1:14" ht="48" x14ac:dyDescent="0.25">
      <c r="A39" s="2" t="s">
        <v>192</v>
      </c>
      <c r="B39" s="3" t="s">
        <v>193</v>
      </c>
      <c r="C39" s="2" t="s">
        <v>66</v>
      </c>
      <c r="D39" s="3"/>
      <c r="E39" s="3" t="s">
        <v>129</v>
      </c>
      <c r="F39" s="3"/>
      <c r="G39" s="4" t="s">
        <v>68</v>
      </c>
      <c r="H39" s="4" t="s">
        <v>68</v>
      </c>
      <c r="I39" s="2" t="s">
        <v>139</v>
      </c>
      <c r="J39" s="3" t="s">
        <v>140</v>
      </c>
      <c r="K39" s="3" t="s">
        <v>132</v>
      </c>
      <c r="L39" s="3" t="s">
        <v>178</v>
      </c>
      <c r="M39" s="4" t="s">
        <v>34</v>
      </c>
      <c r="N39" s="4" t="s">
        <v>26</v>
      </c>
    </row>
    <row r="40" spans="1:14" ht="72" x14ac:dyDescent="0.25">
      <c r="A40" s="2" t="s">
        <v>194</v>
      </c>
      <c r="B40" s="3" t="s">
        <v>195</v>
      </c>
      <c r="C40" s="2" t="s">
        <v>66</v>
      </c>
      <c r="D40" s="3"/>
      <c r="E40" s="3" t="s">
        <v>129</v>
      </c>
      <c r="F40" s="3"/>
      <c r="G40" s="4" t="s">
        <v>68</v>
      </c>
      <c r="H40" s="4" t="s">
        <v>68</v>
      </c>
      <c r="I40" s="2" t="s">
        <v>139</v>
      </c>
      <c r="J40" s="3" t="s">
        <v>140</v>
      </c>
      <c r="K40" s="3" t="s">
        <v>132</v>
      </c>
      <c r="L40" s="3" t="s">
        <v>189</v>
      </c>
      <c r="M40" s="4" t="s">
        <v>25</v>
      </c>
      <c r="N40" s="4" t="s">
        <v>26</v>
      </c>
    </row>
    <row r="41" spans="1:14" ht="72" x14ac:dyDescent="0.25">
      <c r="A41" s="2" t="s">
        <v>196</v>
      </c>
      <c r="B41" s="3" t="s">
        <v>197</v>
      </c>
      <c r="C41" s="2" t="s">
        <v>66</v>
      </c>
      <c r="D41" s="3"/>
      <c r="E41" s="3" t="s">
        <v>129</v>
      </c>
      <c r="F41" s="3"/>
      <c r="G41" s="4" t="s">
        <v>68</v>
      </c>
      <c r="H41" s="4" t="s">
        <v>68</v>
      </c>
      <c r="I41" s="2" t="s">
        <v>139</v>
      </c>
      <c r="J41" s="3" t="s">
        <v>140</v>
      </c>
      <c r="K41" s="3" t="s">
        <v>132</v>
      </c>
      <c r="L41" s="3" t="s">
        <v>189</v>
      </c>
      <c r="M41" s="4" t="s">
        <v>25</v>
      </c>
      <c r="N41" s="4" t="s">
        <v>26</v>
      </c>
    </row>
    <row r="42" spans="1:14" ht="72" x14ac:dyDescent="0.25">
      <c r="A42" s="2" t="s">
        <v>198</v>
      </c>
      <c r="B42" s="3" t="s">
        <v>199</v>
      </c>
      <c r="C42" s="2" t="s">
        <v>66</v>
      </c>
      <c r="D42" s="3"/>
      <c r="E42" s="3" t="s">
        <v>129</v>
      </c>
      <c r="F42" s="3"/>
      <c r="G42" s="4" t="s">
        <v>68</v>
      </c>
      <c r="H42" s="4" t="s">
        <v>68</v>
      </c>
      <c r="I42" s="2" t="s">
        <v>139</v>
      </c>
      <c r="J42" s="3" t="s">
        <v>140</v>
      </c>
      <c r="K42" s="3" t="s">
        <v>132</v>
      </c>
      <c r="L42" s="3" t="s">
        <v>189</v>
      </c>
      <c r="M42" s="4" t="s">
        <v>25</v>
      </c>
      <c r="N42" s="4" t="s">
        <v>26</v>
      </c>
    </row>
    <row r="43" spans="1:14" ht="60" x14ac:dyDescent="0.25">
      <c r="A43" s="2" t="s">
        <v>200</v>
      </c>
      <c r="B43" s="3" t="s">
        <v>201</v>
      </c>
      <c r="C43" s="2" t="s">
        <v>202</v>
      </c>
      <c r="D43" s="3" t="s">
        <v>203</v>
      </c>
      <c r="E43" s="3" t="s">
        <v>204</v>
      </c>
      <c r="F43" s="3" t="s">
        <v>205</v>
      </c>
      <c r="G43" s="4" t="s">
        <v>20</v>
      </c>
      <c r="H43" s="4" t="s">
        <v>32</v>
      </c>
      <c r="I43" s="2" t="s">
        <v>206</v>
      </c>
      <c r="J43" s="3" t="s">
        <v>207</v>
      </c>
      <c r="K43" s="3" t="s">
        <v>205</v>
      </c>
      <c r="L43" s="3" t="s">
        <v>208</v>
      </c>
      <c r="M43" s="4" t="s">
        <v>25</v>
      </c>
      <c r="N43" s="4" t="s">
        <v>26</v>
      </c>
    </row>
    <row r="44" spans="1:14" ht="36" x14ac:dyDescent="0.25">
      <c r="A44" s="2" t="s">
        <v>209</v>
      </c>
      <c r="B44" s="3" t="s">
        <v>203</v>
      </c>
      <c r="C44" s="2" t="s">
        <v>202</v>
      </c>
      <c r="D44" s="3" t="s">
        <v>203</v>
      </c>
      <c r="E44" s="3" t="s">
        <v>204</v>
      </c>
      <c r="F44" s="3" t="s">
        <v>205</v>
      </c>
      <c r="G44" s="4" t="s">
        <v>32</v>
      </c>
      <c r="H44" s="4" t="s">
        <v>32</v>
      </c>
      <c r="I44" s="2" t="s">
        <v>202</v>
      </c>
      <c r="J44" s="3" t="s">
        <v>210</v>
      </c>
      <c r="K44" s="3" t="s">
        <v>205</v>
      </c>
      <c r="L44" s="3" t="s">
        <v>211</v>
      </c>
      <c r="M44" s="4" t="s">
        <v>34</v>
      </c>
      <c r="N44" s="4" t="s">
        <v>63</v>
      </c>
    </row>
    <row r="45" spans="1:14" ht="48" x14ac:dyDescent="0.25">
      <c r="A45" s="2" t="s">
        <v>212</v>
      </c>
      <c r="B45" s="3" t="s">
        <v>167</v>
      </c>
      <c r="C45" s="2" t="s">
        <v>168</v>
      </c>
      <c r="D45" s="3" t="s">
        <v>169</v>
      </c>
      <c r="E45" s="3" t="s">
        <v>170</v>
      </c>
      <c r="F45" s="3" t="s">
        <v>171</v>
      </c>
      <c r="G45" s="4" t="s">
        <v>20</v>
      </c>
      <c r="H45" s="4" t="s">
        <v>20</v>
      </c>
      <c r="I45" s="2" t="s">
        <v>172</v>
      </c>
      <c r="J45" s="3" t="s">
        <v>173</v>
      </c>
      <c r="K45" s="3" t="s">
        <v>174</v>
      </c>
      <c r="L45" s="3" t="s">
        <v>175</v>
      </c>
      <c r="M45" s="4" t="s">
        <v>25</v>
      </c>
      <c r="N45" s="4" t="s">
        <v>26</v>
      </c>
    </row>
    <row r="46" spans="1:14" ht="36" x14ac:dyDescent="0.25">
      <c r="A46" s="2" t="s">
        <v>213</v>
      </c>
      <c r="B46" s="3" t="s">
        <v>214</v>
      </c>
      <c r="C46" s="2" t="s">
        <v>215</v>
      </c>
      <c r="D46" s="3" t="s">
        <v>216</v>
      </c>
      <c r="E46" s="3" t="s">
        <v>204</v>
      </c>
      <c r="F46" s="3" t="s">
        <v>205</v>
      </c>
      <c r="G46" s="4" t="s">
        <v>20</v>
      </c>
      <c r="H46" s="4" t="s">
        <v>32</v>
      </c>
      <c r="I46" s="2" t="s">
        <v>217</v>
      </c>
      <c r="J46" s="3" t="s">
        <v>218</v>
      </c>
      <c r="K46" s="3" t="s">
        <v>205</v>
      </c>
      <c r="L46" s="3" t="s">
        <v>219</v>
      </c>
      <c r="M46" s="4" t="s">
        <v>25</v>
      </c>
      <c r="N46" s="4" t="s">
        <v>26</v>
      </c>
    </row>
    <row r="47" spans="1:14" ht="36" x14ac:dyDescent="0.25">
      <c r="A47" s="2" t="s">
        <v>220</v>
      </c>
      <c r="B47" s="3" t="s">
        <v>221</v>
      </c>
      <c r="C47" s="2" t="s">
        <v>222</v>
      </c>
      <c r="D47" s="3" t="s">
        <v>223</v>
      </c>
      <c r="E47" s="3" t="s">
        <v>204</v>
      </c>
      <c r="F47" s="3" t="s">
        <v>224</v>
      </c>
      <c r="G47" s="4" t="s">
        <v>20</v>
      </c>
      <c r="H47" s="4" t="s">
        <v>20</v>
      </c>
      <c r="I47" s="2" t="s">
        <v>225</v>
      </c>
      <c r="J47" s="3" t="s">
        <v>226</v>
      </c>
      <c r="K47" s="3" t="s">
        <v>205</v>
      </c>
      <c r="L47" s="3" t="s">
        <v>227</v>
      </c>
      <c r="M47" s="4" t="s">
        <v>34</v>
      </c>
      <c r="N47" s="4" t="s">
        <v>26</v>
      </c>
    </row>
    <row r="48" spans="1:14" ht="72" x14ac:dyDescent="0.25">
      <c r="A48" s="2" t="s">
        <v>228</v>
      </c>
      <c r="B48" s="3" t="s">
        <v>229</v>
      </c>
      <c r="C48" s="2" t="s">
        <v>230</v>
      </c>
      <c r="D48" s="3" t="s">
        <v>231</v>
      </c>
      <c r="E48" s="3" t="s">
        <v>204</v>
      </c>
      <c r="F48" s="3" t="s">
        <v>41</v>
      </c>
      <c r="G48" s="4" t="s">
        <v>20</v>
      </c>
      <c r="H48" s="4" t="s">
        <v>20</v>
      </c>
      <c r="I48" s="2" t="s">
        <v>215</v>
      </c>
      <c r="J48" s="3" t="s">
        <v>232</v>
      </c>
      <c r="K48" s="3" t="s">
        <v>205</v>
      </c>
      <c r="L48" s="3" t="s">
        <v>233</v>
      </c>
      <c r="M48" s="4" t="s">
        <v>234</v>
      </c>
      <c r="N48" s="4" t="s">
        <v>235</v>
      </c>
    </row>
    <row r="49" spans="1:14" ht="48" x14ac:dyDescent="0.25">
      <c r="A49" s="2" t="s">
        <v>236</v>
      </c>
      <c r="B49" s="3" t="s">
        <v>237</v>
      </c>
      <c r="C49" s="2" t="s">
        <v>238</v>
      </c>
      <c r="D49" s="3" t="s">
        <v>239</v>
      </c>
      <c r="E49" s="3" t="s">
        <v>204</v>
      </c>
      <c r="F49" s="3" t="s">
        <v>240</v>
      </c>
      <c r="G49" s="4" t="s">
        <v>32</v>
      </c>
      <c r="H49" s="4" t="s">
        <v>20</v>
      </c>
      <c r="I49" s="2" t="s">
        <v>215</v>
      </c>
      <c r="J49" s="3" t="s">
        <v>232</v>
      </c>
      <c r="K49" s="3" t="s">
        <v>205</v>
      </c>
      <c r="L49" s="3" t="s">
        <v>241</v>
      </c>
      <c r="M49" s="4" t="s">
        <v>25</v>
      </c>
      <c r="N49" s="4" t="s">
        <v>26</v>
      </c>
    </row>
    <row r="50" spans="1:14" ht="48" x14ac:dyDescent="0.25">
      <c r="A50" s="2" t="s">
        <v>242</v>
      </c>
      <c r="B50" s="3" t="s">
        <v>243</v>
      </c>
      <c r="C50" s="2" t="s">
        <v>238</v>
      </c>
      <c r="D50" s="3" t="s">
        <v>239</v>
      </c>
      <c r="E50" s="3" t="s">
        <v>204</v>
      </c>
      <c r="F50" s="3" t="s">
        <v>240</v>
      </c>
      <c r="G50" s="4" t="s">
        <v>32</v>
      </c>
      <c r="H50" s="4" t="s">
        <v>20</v>
      </c>
      <c r="I50" s="2" t="s">
        <v>215</v>
      </c>
      <c r="J50" s="3" t="s">
        <v>232</v>
      </c>
      <c r="K50" s="3" t="s">
        <v>205</v>
      </c>
      <c r="L50" s="3" t="s">
        <v>241</v>
      </c>
      <c r="M50" s="4" t="s">
        <v>25</v>
      </c>
      <c r="N50" s="4" t="s">
        <v>26</v>
      </c>
    </row>
    <row r="51" spans="1:14" ht="48" x14ac:dyDescent="0.25">
      <c r="A51" s="2" t="s">
        <v>244</v>
      </c>
      <c r="B51" s="3" t="s">
        <v>245</v>
      </c>
      <c r="C51" s="2" t="s">
        <v>238</v>
      </c>
      <c r="D51" s="3" t="s">
        <v>239</v>
      </c>
      <c r="E51" s="3" t="s">
        <v>204</v>
      </c>
      <c r="F51" s="3" t="s">
        <v>240</v>
      </c>
      <c r="G51" s="4" t="s">
        <v>32</v>
      </c>
      <c r="H51" s="4" t="s">
        <v>20</v>
      </c>
      <c r="I51" s="2" t="s">
        <v>215</v>
      </c>
      <c r="J51" s="3" t="s">
        <v>232</v>
      </c>
      <c r="K51" s="3" t="s">
        <v>205</v>
      </c>
      <c r="L51" s="3" t="s">
        <v>241</v>
      </c>
      <c r="M51" s="4" t="s">
        <v>25</v>
      </c>
      <c r="N51" s="4" t="s">
        <v>26</v>
      </c>
    </row>
    <row r="52" spans="1:14" ht="48" x14ac:dyDescent="0.25">
      <c r="A52" s="2" t="s">
        <v>246</v>
      </c>
      <c r="B52" s="3" t="s">
        <v>247</v>
      </c>
      <c r="C52" s="2" t="s">
        <v>238</v>
      </c>
      <c r="D52" s="3" t="s">
        <v>239</v>
      </c>
      <c r="E52" s="3" t="s">
        <v>204</v>
      </c>
      <c r="F52" s="3" t="s">
        <v>240</v>
      </c>
      <c r="G52" s="4" t="s">
        <v>32</v>
      </c>
      <c r="H52" s="4" t="s">
        <v>20</v>
      </c>
      <c r="I52" s="2" t="s">
        <v>215</v>
      </c>
      <c r="J52" s="3" t="s">
        <v>232</v>
      </c>
      <c r="K52" s="3" t="s">
        <v>205</v>
      </c>
      <c r="L52" s="3" t="s">
        <v>241</v>
      </c>
      <c r="M52" s="4" t="s">
        <v>25</v>
      </c>
      <c r="N52" s="4" t="s">
        <v>26</v>
      </c>
    </row>
    <row r="53" spans="1:14" ht="48" x14ac:dyDescent="0.25">
      <c r="A53" s="2" t="s">
        <v>248</v>
      </c>
      <c r="B53" s="3" t="s">
        <v>249</v>
      </c>
      <c r="C53" s="2" t="s">
        <v>238</v>
      </c>
      <c r="D53" s="3" t="s">
        <v>239</v>
      </c>
      <c r="E53" s="3" t="s">
        <v>204</v>
      </c>
      <c r="F53" s="3" t="s">
        <v>240</v>
      </c>
      <c r="G53" s="4" t="s">
        <v>32</v>
      </c>
      <c r="H53" s="4" t="s">
        <v>20</v>
      </c>
      <c r="I53" s="2" t="s">
        <v>215</v>
      </c>
      <c r="J53" s="3" t="s">
        <v>232</v>
      </c>
      <c r="K53" s="3" t="s">
        <v>205</v>
      </c>
      <c r="L53" s="3" t="s">
        <v>241</v>
      </c>
      <c r="M53" s="4" t="s">
        <v>25</v>
      </c>
      <c r="N53" s="4" t="s">
        <v>26</v>
      </c>
    </row>
    <row r="54" spans="1:14" ht="60" x14ac:dyDescent="0.25">
      <c r="A54" s="2" t="s">
        <v>250</v>
      </c>
      <c r="B54" s="3" t="s">
        <v>251</v>
      </c>
      <c r="C54" s="2" t="s">
        <v>230</v>
      </c>
      <c r="D54" s="3" t="s">
        <v>231</v>
      </c>
      <c r="E54" s="3" t="s">
        <v>204</v>
      </c>
      <c r="F54" s="3" t="s">
        <v>41</v>
      </c>
      <c r="G54" s="4" t="s">
        <v>20</v>
      </c>
      <c r="H54" s="4" t="s">
        <v>20</v>
      </c>
      <c r="I54" s="2" t="s">
        <v>215</v>
      </c>
      <c r="J54" s="3" t="s">
        <v>232</v>
      </c>
      <c r="K54" s="3" t="s">
        <v>205</v>
      </c>
      <c r="L54" s="3" t="s">
        <v>252</v>
      </c>
      <c r="M54" s="4" t="s">
        <v>234</v>
      </c>
      <c r="N54" s="4" t="s">
        <v>235</v>
      </c>
    </row>
    <row r="55" spans="1:14" ht="36" x14ac:dyDescent="0.25">
      <c r="A55" s="2" t="s">
        <v>253</v>
      </c>
      <c r="B55" s="3" t="s">
        <v>254</v>
      </c>
      <c r="C55" s="2" t="s">
        <v>238</v>
      </c>
      <c r="D55" s="3" t="s">
        <v>239</v>
      </c>
      <c r="E55" s="3" t="s">
        <v>204</v>
      </c>
      <c r="F55" s="3" t="s">
        <v>240</v>
      </c>
      <c r="G55" s="4" t="s">
        <v>32</v>
      </c>
      <c r="H55" s="4" t="s">
        <v>20</v>
      </c>
      <c r="I55" s="2" t="s">
        <v>215</v>
      </c>
      <c r="J55" s="3" t="s">
        <v>232</v>
      </c>
      <c r="K55" s="3" t="s">
        <v>205</v>
      </c>
      <c r="L55" s="3" t="s">
        <v>255</v>
      </c>
      <c r="M55" s="4" t="s">
        <v>25</v>
      </c>
      <c r="N55" s="4" t="s">
        <v>26</v>
      </c>
    </row>
    <row r="56" spans="1:14" ht="48" x14ac:dyDescent="0.25">
      <c r="A56" s="2" t="s">
        <v>256</v>
      </c>
      <c r="B56" s="3" t="s">
        <v>257</v>
      </c>
      <c r="C56" s="2" t="s">
        <v>230</v>
      </c>
      <c r="D56" s="3" t="s">
        <v>231</v>
      </c>
      <c r="E56" s="3" t="s">
        <v>204</v>
      </c>
      <c r="F56" s="3" t="s">
        <v>41</v>
      </c>
      <c r="G56" s="4" t="s">
        <v>20</v>
      </c>
      <c r="H56" s="4" t="s">
        <v>20</v>
      </c>
      <c r="I56" s="2" t="s">
        <v>258</v>
      </c>
      <c r="J56" s="3" t="s">
        <v>259</v>
      </c>
      <c r="K56" s="3" t="s">
        <v>260</v>
      </c>
      <c r="L56" s="3" t="s">
        <v>261</v>
      </c>
      <c r="M56" s="4" t="s">
        <v>25</v>
      </c>
      <c r="N56" s="4" t="s">
        <v>235</v>
      </c>
    </row>
    <row r="57" spans="1:14" ht="48" x14ac:dyDescent="0.25">
      <c r="A57" s="2" t="s">
        <v>262</v>
      </c>
      <c r="B57" s="3" t="s">
        <v>263</v>
      </c>
      <c r="C57" s="2" t="s">
        <v>264</v>
      </c>
      <c r="D57" s="3" t="s">
        <v>265</v>
      </c>
      <c r="E57" s="3" t="s">
        <v>266</v>
      </c>
      <c r="F57" s="3" t="s">
        <v>132</v>
      </c>
      <c r="G57" s="4" t="s">
        <v>20</v>
      </c>
      <c r="H57" s="4" t="s">
        <v>20</v>
      </c>
      <c r="I57" s="2" t="s">
        <v>267</v>
      </c>
      <c r="J57" s="3" t="s">
        <v>268</v>
      </c>
      <c r="K57" s="3" t="s">
        <v>205</v>
      </c>
      <c r="L57" s="3" t="s">
        <v>269</v>
      </c>
      <c r="M57" s="4" t="s">
        <v>34</v>
      </c>
      <c r="N57" s="4" t="s">
        <v>26</v>
      </c>
    </row>
    <row r="58" spans="1:14" ht="48" x14ac:dyDescent="0.25">
      <c r="A58" s="2" t="s">
        <v>270</v>
      </c>
      <c r="B58" s="3" t="s">
        <v>271</v>
      </c>
      <c r="C58" s="2" t="s">
        <v>272</v>
      </c>
      <c r="D58" s="3" t="s">
        <v>273</v>
      </c>
      <c r="E58" s="3" t="s">
        <v>266</v>
      </c>
      <c r="F58" s="3" t="s">
        <v>274</v>
      </c>
      <c r="G58" s="4" t="s">
        <v>20</v>
      </c>
      <c r="H58" s="4" t="s">
        <v>32</v>
      </c>
      <c r="I58" s="2" t="s">
        <v>275</v>
      </c>
      <c r="J58" s="3" t="s">
        <v>276</v>
      </c>
      <c r="K58" s="3" t="s">
        <v>274</v>
      </c>
      <c r="L58" s="3" t="s">
        <v>277</v>
      </c>
      <c r="M58" s="4" t="s">
        <v>34</v>
      </c>
      <c r="N58" s="4" t="s">
        <v>26</v>
      </c>
    </row>
    <row r="59" spans="1:14" ht="96" x14ac:dyDescent="0.25">
      <c r="A59" s="2" t="s">
        <v>278</v>
      </c>
      <c r="B59" s="3" t="s">
        <v>279</v>
      </c>
      <c r="C59" s="2" t="s">
        <v>115</v>
      </c>
      <c r="D59" s="3" t="s">
        <v>116</v>
      </c>
      <c r="E59" s="3" t="s">
        <v>266</v>
      </c>
      <c r="F59" s="3" t="s">
        <v>41</v>
      </c>
      <c r="G59" s="4" t="s">
        <v>20</v>
      </c>
      <c r="H59" s="4" t="s">
        <v>20</v>
      </c>
      <c r="I59" s="2" t="s">
        <v>280</v>
      </c>
      <c r="J59" s="3" t="s">
        <v>281</v>
      </c>
      <c r="K59" s="3" t="s">
        <v>205</v>
      </c>
      <c r="L59" s="3" t="s">
        <v>282</v>
      </c>
      <c r="M59" s="4" t="s">
        <v>25</v>
      </c>
      <c r="N59" s="4" t="s">
        <v>26</v>
      </c>
    </row>
    <row r="60" spans="1:14" ht="84" x14ac:dyDescent="0.25">
      <c r="A60" s="2" t="s">
        <v>283</v>
      </c>
      <c r="B60" s="3" t="s">
        <v>284</v>
      </c>
      <c r="C60" s="2" t="s">
        <v>230</v>
      </c>
      <c r="D60" s="3" t="s">
        <v>231</v>
      </c>
      <c r="E60" s="3" t="s">
        <v>266</v>
      </c>
      <c r="F60" s="3" t="s">
        <v>41</v>
      </c>
      <c r="G60" s="4" t="s">
        <v>32</v>
      </c>
      <c r="H60" s="4" t="s">
        <v>20</v>
      </c>
      <c r="I60" s="2" t="s">
        <v>280</v>
      </c>
      <c r="J60" s="3" t="s">
        <v>281</v>
      </c>
      <c r="K60" s="3" t="s">
        <v>205</v>
      </c>
      <c r="L60" s="3" t="s">
        <v>285</v>
      </c>
      <c r="M60" s="4" t="s">
        <v>25</v>
      </c>
      <c r="N60" s="4" t="s">
        <v>26</v>
      </c>
    </row>
    <row r="61" spans="1:14" ht="96" x14ac:dyDescent="0.25">
      <c r="A61" s="2" t="s">
        <v>286</v>
      </c>
      <c r="B61" s="3" t="s">
        <v>287</v>
      </c>
      <c r="C61" s="2" t="s">
        <v>288</v>
      </c>
      <c r="D61" s="3" t="s">
        <v>289</v>
      </c>
      <c r="E61" s="3" t="s">
        <v>266</v>
      </c>
      <c r="F61" s="3" t="s">
        <v>290</v>
      </c>
      <c r="G61" s="4" t="s">
        <v>20</v>
      </c>
      <c r="H61" s="4" t="s">
        <v>20</v>
      </c>
      <c r="I61" s="2" t="s">
        <v>280</v>
      </c>
      <c r="J61" s="3" t="s">
        <v>281</v>
      </c>
      <c r="K61" s="3" t="s">
        <v>205</v>
      </c>
      <c r="L61" s="3" t="s">
        <v>291</v>
      </c>
      <c r="M61" s="4" t="s">
        <v>25</v>
      </c>
      <c r="N61" s="4" t="s">
        <v>26</v>
      </c>
    </row>
    <row r="62" spans="1:14" ht="48" x14ac:dyDescent="0.25">
      <c r="A62" s="2" t="s">
        <v>292</v>
      </c>
      <c r="B62" s="3" t="s">
        <v>293</v>
      </c>
      <c r="C62" s="2" t="s">
        <v>264</v>
      </c>
      <c r="D62" s="3" t="s">
        <v>265</v>
      </c>
      <c r="E62" s="3" t="s">
        <v>294</v>
      </c>
      <c r="F62" s="3" t="s">
        <v>132</v>
      </c>
      <c r="G62" s="4" t="s">
        <v>20</v>
      </c>
      <c r="H62" s="4" t="s">
        <v>20</v>
      </c>
      <c r="I62" s="2" t="s">
        <v>267</v>
      </c>
      <c r="J62" s="3" t="s">
        <v>268</v>
      </c>
      <c r="K62" s="3" t="s">
        <v>205</v>
      </c>
      <c r="L62" s="3" t="s">
        <v>269</v>
      </c>
      <c r="M62" s="4" t="s">
        <v>34</v>
      </c>
      <c r="N62" s="4" t="s">
        <v>26</v>
      </c>
    </row>
    <row r="63" spans="1:14" ht="48" x14ac:dyDescent="0.25">
      <c r="A63" s="2" t="s">
        <v>295</v>
      </c>
      <c r="B63" s="3" t="s">
        <v>296</v>
      </c>
      <c r="C63" s="2" t="s">
        <v>272</v>
      </c>
      <c r="D63" s="3" t="s">
        <v>273</v>
      </c>
      <c r="E63" s="3" t="s">
        <v>294</v>
      </c>
      <c r="F63" s="3" t="s">
        <v>274</v>
      </c>
      <c r="G63" s="4" t="s">
        <v>20</v>
      </c>
      <c r="H63" s="4" t="s">
        <v>32</v>
      </c>
      <c r="I63" s="2" t="s">
        <v>275</v>
      </c>
      <c r="J63" s="3" t="s">
        <v>276</v>
      </c>
      <c r="K63" s="3" t="s">
        <v>274</v>
      </c>
      <c r="L63" s="3" t="s">
        <v>277</v>
      </c>
      <c r="M63" s="4" t="s">
        <v>34</v>
      </c>
      <c r="N63" s="4" t="s">
        <v>26</v>
      </c>
    </row>
    <row r="64" spans="1:14" ht="96" x14ac:dyDescent="0.25">
      <c r="A64" s="2" t="s">
        <v>297</v>
      </c>
      <c r="B64" s="3" t="s">
        <v>298</v>
      </c>
      <c r="C64" s="2" t="s">
        <v>115</v>
      </c>
      <c r="D64" s="3" t="s">
        <v>116</v>
      </c>
      <c r="E64" s="3" t="s">
        <v>294</v>
      </c>
      <c r="F64" s="3" t="s">
        <v>41</v>
      </c>
      <c r="G64" s="4" t="s">
        <v>20</v>
      </c>
      <c r="H64" s="4" t="s">
        <v>20</v>
      </c>
      <c r="I64" s="2" t="s">
        <v>280</v>
      </c>
      <c r="J64" s="3" t="s">
        <v>281</v>
      </c>
      <c r="K64" s="3" t="s">
        <v>205</v>
      </c>
      <c r="L64" s="3" t="s">
        <v>282</v>
      </c>
      <c r="M64" s="4" t="s">
        <v>25</v>
      </c>
      <c r="N64" s="4" t="s">
        <v>26</v>
      </c>
    </row>
    <row r="65" spans="1:14" ht="84" x14ac:dyDescent="0.25">
      <c r="A65" s="2" t="s">
        <v>299</v>
      </c>
      <c r="B65" s="3" t="s">
        <v>300</v>
      </c>
      <c r="C65" s="2" t="s">
        <v>230</v>
      </c>
      <c r="D65" s="3" t="s">
        <v>231</v>
      </c>
      <c r="E65" s="3" t="s">
        <v>294</v>
      </c>
      <c r="F65" s="3" t="s">
        <v>41</v>
      </c>
      <c r="G65" s="4" t="s">
        <v>32</v>
      </c>
      <c r="H65" s="4" t="s">
        <v>20</v>
      </c>
      <c r="I65" s="2" t="s">
        <v>280</v>
      </c>
      <c r="J65" s="3" t="s">
        <v>281</v>
      </c>
      <c r="K65" s="3" t="s">
        <v>205</v>
      </c>
      <c r="L65" s="3" t="s">
        <v>285</v>
      </c>
      <c r="M65" s="4" t="s">
        <v>25</v>
      </c>
      <c r="N65" s="4" t="s">
        <v>26</v>
      </c>
    </row>
    <row r="66" spans="1:14" ht="48" x14ac:dyDescent="0.25">
      <c r="A66" s="2" t="s">
        <v>301</v>
      </c>
      <c r="B66" s="3" t="s">
        <v>302</v>
      </c>
      <c r="C66" s="2" t="s">
        <v>264</v>
      </c>
      <c r="D66" s="3" t="s">
        <v>265</v>
      </c>
      <c r="E66" s="3" t="s">
        <v>303</v>
      </c>
      <c r="F66" s="3" t="s">
        <v>132</v>
      </c>
      <c r="G66" s="4" t="s">
        <v>20</v>
      </c>
      <c r="H66" s="4" t="s">
        <v>20</v>
      </c>
      <c r="I66" s="2" t="s">
        <v>267</v>
      </c>
      <c r="J66" s="3" t="s">
        <v>268</v>
      </c>
      <c r="K66" s="3" t="s">
        <v>205</v>
      </c>
      <c r="L66" s="3" t="s">
        <v>269</v>
      </c>
      <c r="M66" s="4" t="s">
        <v>34</v>
      </c>
      <c r="N66" s="4" t="s">
        <v>26</v>
      </c>
    </row>
    <row r="67" spans="1:14" ht="48" x14ac:dyDescent="0.25">
      <c r="A67" s="2" t="s">
        <v>304</v>
      </c>
      <c r="B67" s="3" t="s">
        <v>305</v>
      </c>
      <c r="C67" s="2" t="s">
        <v>272</v>
      </c>
      <c r="D67" s="3" t="s">
        <v>273</v>
      </c>
      <c r="E67" s="3" t="s">
        <v>303</v>
      </c>
      <c r="F67" s="3" t="s">
        <v>274</v>
      </c>
      <c r="G67" s="4" t="s">
        <v>20</v>
      </c>
      <c r="H67" s="4" t="s">
        <v>32</v>
      </c>
      <c r="I67" s="2" t="s">
        <v>275</v>
      </c>
      <c r="J67" s="3" t="s">
        <v>276</v>
      </c>
      <c r="K67" s="3" t="s">
        <v>274</v>
      </c>
      <c r="L67" s="3" t="s">
        <v>277</v>
      </c>
      <c r="M67" s="4" t="s">
        <v>34</v>
      </c>
      <c r="N67" s="4" t="s">
        <v>26</v>
      </c>
    </row>
    <row r="68" spans="1:14" ht="96" x14ac:dyDescent="0.25">
      <c r="A68" s="2" t="s">
        <v>306</v>
      </c>
      <c r="B68" s="3" t="s">
        <v>307</v>
      </c>
      <c r="C68" s="2" t="s">
        <v>115</v>
      </c>
      <c r="D68" s="3" t="s">
        <v>116</v>
      </c>
      <c r="E68" s="3" t="s">
        <v>303</v>
      </c>
      <c r="F68" s="3" t="s">
        <v>41</v>
      </c>
      <c r="G68" s="4" t="s">
        <v>20</v>
      </c>
      <c r="H68" s="4" t="s">
        <v>20</v>
      </c>
      <c r="I68" s="2" t="s">
        <v>280</v>
      </c>
      <c r="J68" s="3" t="s">
        <v>281</v>
      </c>
      <c r="K68" s="3" t="s">
        <v>205</v>
      </c>
      <c r="L68" s="3" t="s">
        <v>282</v>
      </c>
      <c r="M68" s="4" t="s">
        <v>25</v>
      </c>
      <c r="N68" s="4" t="s">
        <v>26</v>
      </c>
    </row>
    <row r="69" spans="1:14" ht="84" x14ac:dyDescent="0.25">
      <c r="A69" s="2" t="s">
        <v>308</v>
      </c>
      <c r="B69" s="3" t="s">
        <v>309</v>
      </c>
      <c r="C69" s="2" t="s">
        <v>230</v>
      </c>
      <c r="D69" s="3" t="s">
        <v>231</v>
      </c>
      <c r="E69" s="3" t="s">
        <v>303</v>
      </c>
      <c r="F69" s="3" t="s">
        <v>41</v>
      </c>
      <c r="G69" s="4" t="s">
        <v>32</v>
      </c>
      <c r="H69" s="4" t="s">
        <v>20</v>
      </c>
      <c r="I69" s="2" t="s">
        <v>280</v>
      </c>
      <c r="J69" s="3" t="s">
        <v>281</v>
      </c>
      <c r="K69" s="3" t="s">
        <v>205</v>
      </c>
      <c r="L69" s="3" t="s">
        <v>285</v>
      </c>
      <c r="M69" s="4" t="s">
        <v>25</v>
      </c>
      <c r="N69" s="4" t="s">
        <v>26</v>
      </c>
    </row>
    <row r="70" spans="1:14" ht="96" x14ac:dyDescent="0.25">
      <c r="A70" s="2" t="s">
        <v>310</v>
      </c>
      <c r="B70" s="3" t="s">
        <v>311</v>
      </c>
      <c r="C70" s="2" t="s">
        <v>288</v>
      </c>
      <c r="D70" s="3" t="s">
        <v>289</v>
      </c>
      <c r="E70" s="3" t="s">
        <v>303</v>
      </c>
      <c r="F70" s="3" t="s">
        <v>290</v>
      </c>
      <c r="G70" s="4" t="s">
        <v>20</v>
      </c>
      <c r="H70" s="4" t="s">
        <v>20</v>
      </c>
      <c r="I70" s="2" t="s">
        <v>280</v>
      </c>
      <c r="J70" s="3" t="s">
        <v>281</v>
      </c>
      <c r="K70" s="3" t="s">
        <v>205</v>
      </c>
      <c r="L70" s="3" t="s">
        <v>312</v>
      </c>
      <c r="M70" s="4" t="s">
        <v>25</v>
      </c>
      <c r="N70" s="4" t="s">
        <v>26</v>
      </c>
    </row>
    <row r="71" spans="1:14" ht="48" x14ac:dyDescent="0.25">
      <c r="A71" s="2" t="s">
        <v>313</v>
      </c>
      <c r="B71" s="3" t="s">
        <v>314</v>
      </c>
      <c r="C71" s="2" t="s">
        <v>264</v>
      </c>
      <c r="D71" s="3" t="s">
        <v>265</v>
      </c>
      <c r="E71" s="3" t="s">
        <v>315</v>
      </c>
      <c r="F71" s="3" t="s">
        <v>132</v>
      </c>
      <c r="G71" s="4" t="s">
        <v>20</v>
      </c>
      <c r="H71" s="4" t="s">
        <v>20</v>
      </c>
      <c r="I71" s="2"/>
      <c r="J71" s="3"/>
      <c r="K71" s="3"/>
      <c r="L71" s="3" t="s">
        <v>316</v>
      </c>
      <c r="M71" s="4" t="s">
        <v>34</v>
      </c>
      <c r="N71" s="4" t="s">
        <v>35</v>
      </c>
    </row>
    <row r="72" spans="1:14" ht="48" x14ac:dyDescent="0.25">
      <c r="A72" s="2" t="s">
        <v>317</v>
      </c>
      <c r="B72" s="3" t="s">
        <v>318</v>
      </c>
      <c r="C72" s="2" t="s">
        <v>264</v>
      </c>
      <c r="D72" s="3" t="s">
        <v>265</v>
      </c>
      <c r="E72" s="3" t="s">
        <v>315</v>
      </c>
      <c r="F72" s="3" t="s">
        <v>132</v>
      </c>
      <c r="G72" s="4" t="s">
        <v>20</v>
      </c>
      <c r="H72" s="4" t="s">
        <v>20</v>
      </c>
      <c r="I72" s="2"/>
      <c r="J72" s="3"/>
      <c r="K72" s="3"/>
      <c r="L72" s="3" t="s">
        <v>316</v>
      </c>
      <c r="M72" s="4" t="s">
        <v>34</v>
      </c>
      <c r="N72" s="4" t="s">
        <v>35</v>
      </c>
    </row>
    <row r="73" spans="1:14" ht="48" x14ac:dyDescent="0.25">
      <c r="A73" s="2" t="s">
        <v>319</v>
      </c>
      <c r="B73" s="3" t="s">
        <v>320</v>
      </c>
      <c r="C73" s="2" t="s">
        <v>264</v>
      </c>
      <c r="D73" s="3" t="s">
        <v>265</v>
      </c>
      <c r="E73" s="3" t="s">
        <v>321</v>
      </c>
      <c r="F73" s="3" t="s">
        <v>132</v>
      </c>
      <c r="G73" s="4" t="s">
        <v>20</v>
      </c>
      <c r="H73" s="4" t="s">
        <v>20</v>
      </c>
      <c r="I73" s="2" t="s">
        <v>322</v>
      </c>
      <c r="J73" s="3" t="s">
        <v>323</v>
      </c>
      <c r="K73" s="3" t="s">
        <v>205</v>
      </c>
      <c r="L73" s="3" t="s">
        <v>324</v>
      </c>
      <c r="M73" s="4" t="s">
        <v>25</v>
      </c>
      <c r="N73" s="4" t="s">
        <v>26</v>
      </c>
    </row>
    <row r="74" spans="1:14" ht="36" x14ac:dyDescent="0.25">
      <c r="A74" s="2" t="s">
        <v>325</v>
      </c>
      <c r="B74" s="3" t="s">
        <v>326</v>
      </c>
      <c r="C74" s="2" t="s">
        <v>327</v>
      </c>
      <c r="D74" s="3" t="s">
        <v>328</v>
      </c>
      <c r="E74" s="3" t="s">
        <v>321</v>
      </c>
      <c r="F74" s="3" t="s">
        <v>205</v>
      </c>
      <c r="G74" s="4" t="s">
        <v>20</v>
      </c>
      <c r="H74" s="4" t="s">
        <v>32</v>
      </c>
      <c r="I74" s="2" t="s">
        <v>329</v>
      </c>
      <c r="J74" s="3" t="s">
        <v>330</v>
      </c>
      <c r="K74" s="3" t="s">
        <v>205</v>
      </c>
      <c r="L74" s="3" t="s">
        <v>331</v>
      </c>
      <c r="M74" s="4" t="s">
        <v>34</v>
      </c>
      <c r="N74" s="4" t="s">
        <v>26</v>
      </c>
    </row>
    <row r="75" spans="1:14" ht="36" x14ac:dyDescent="0.25">
      <c r="A75" s="2" t="s">
        <v>332</v>
      </c>
      <c r="B75" s="3" t="s">
        <v>333</v>
      </c>
      <c r="C75" s="2" t="s">
        <v>264</v>
      </c>
      <c r="D75" s="3" t="s">
        <v>265</v>
      </c>
      <c r="E75" s="3" t="s">
        <v>321</v>
      </c>
      <c r="F75" s="3" t="s">
        <v>132</v>
      </c>
      <c r="G75" s="4" t="s">
        <v>20</v>
      </c>
      <c r="H75" s="4" t="s">
        <v>20</v>
      </c>
      <c r="I75" s="2" t="s">
        <v>322</v>
      </c>
      <c r="J75" s="3" t="s">
        <v>323</v>
      </c>
      <c r="K75" s="3" t="s">
        <v>205</v>
      </c>
      <c r="L75" s="3" t="s">
        <v>334</v>
      </c>
      <c r="M75" s="4" t="s">
        <v>25</v>
      </c>
      <c r="N75" s="4" t="s">
        <v>26</v>
      </c>
    </row>
    <row r="76" spans="1:14" ht="36" x14ac:dyDescent="0.25">
      <c r="A76" s="2" t="s">
        <v>335</v>
      </c>
      <c r="B76" s="3" t="s">
        <v>336</v>
      </c>
      <c r="C76" s="2" t="s">
        <v>264</v>
      </c>
      <c r="D76" s="3" t="s">
        <v>265</v>
      </c>
      <c r="E76" s="3" t="s">
        <v>321</v>
      </c>
      <c r="F76" s="3" t="s">
        <v>132</v>
      </c>
      <c r="G76" s="4" t="s">
        <v>20</v>
      </c>
      <c r="H76" s="4" t="s">
        <v>20</v>
      </c>
      <c r="I76" s="2" t="s">
        <v>327</v>
      </c>
      <c r="J76" s="3" t="s">
        <v>337</v>
      </c>
      <c r="K76" s="3" t="s">
        <v>205</v>
      </c>
      <c r="L76" s="3" t="s">
        <v>338</v>
      </c>
      <c r="M76" s="4" t="s">
        <v>34</v>
      </c>
      <c r="N76" s="4" t="s">
        <v>26</v>
      </c>
    </row>
    <row r="77" spans="1:14" ht="36" x14ac:dyDescent="0.25">
      <c r="A77" s="2" t="s">
        <v>339</v>
      </c>
      <c r="B77" s="3" t="s">
        <v>340</v>
      </c>
      <c r="C77" s="2" t="s">
        <v>264</v>
      </c>
      <c r="D77" s="3" t="s">
        <v>265</v>
      </c>
      <c r="E77" s="3" t="s">
        <v>321</v>
      </c>
      <c r="F77" s="3" t="s">
        <v>132</v>
      </c>
      <c r="G77" s="4" t="s">
        <v>20</v>
      </c>
      <c r="H77" s="4" t="s">
        <v>20</v>
      </c>
      <c r="I77" s="2" t="s">
        <v>327</v>
      </c>
      <c r="J77" s="3" t="s">
        <v>337</v>
      </c>
      <c r="K77" s="3" t="s">
        <v>205</v>
      </c>
      <c r="L77" s="3" t="s">
        <v>341</v>
      </c>
      <c r="M77" s="4" t="s">
        <v>25</v>
      </c>
      <c r="N77" s="4" t="s">
        <v>26</v>
      </c>
    </row>
    <row r="78" spans="1:14" ht="36" x14ac:dyDescent="0.25">
      <c r="A78" s="2" t="s">
        <v>342</v>
      </c>
      <c r="B78" s="3" t="s">
        <v>343</v>
      </c>
      <c r="C78" s="2" t="s">
        <v>264</v>
      </c>
      <c r="D78" s="3" t="s">
        <v>265</v>
      </c>
      <c r="E78" s="3" t="s">
        <v>321</v>
      </c>
      <c r="F78" s="3" t="s">
        <v>132</v>
      </c>
      <c r="G78" s="4" t="s">
        <v>20</v>
      </c>
      <c r="H78" s="4" t="s">
        <v>20</v>
      </c>
      <c r="I78" s="2" t="s">
        <v>322</v>
      </c>
      <c r="J78" s="3" t="s">
        <v>323</v>
      </c>
      <c r="K78" s="3" t="s">
        <v>205</v>
      </c>
      <c r="L78" s="3" t="s">
        <v>344</v>
      </c>
      <c r="M78" s="4" t="s">
        <v>34</v>
      </c>
      <c r="N78" s="4" t="s">
        <v>26</v>
      </c>
    </row>
    <row r="79" spans="1:14" ht="36" x14ac:dyDescent="0.25">
      <c r="A79" s="2" t="s">
        <v>345</v>
      </c>
      <c r="B79" s="3" t="s">
        <v>346</v>
      </c>
      <c r="C79" s="2" t="s">
        <v>264</v>
      </c>
      <c r="D79" s="3" t="s">
        <v>265</v>
      </c>
      <c r="E79" s="3" t="s">
        <v>321</v>
      </c>
      <c r="F79" s="3" t="s">
        <v>132</v>
      </c>
      <c r="G79" s="4" t="s">
        <v>20</v>
      </c>
      <c r="H79" s="4" t="s">
        <v>20</v>
      </c>
      <c r="I79" s="2" t="s">
        <v>322</v>
      </c>
      <c r="J79" s="3" t="s">
        <v>323</v>
      </c>
      <c r="K79" s="3" t="s">
        <v>205</v>
      </c>
      <c r="L79" s="3" t="s">
        <v>347</v>
      </c>
      <c r="M79" s="4" t="s">
        <v>25</v>
      </c>
      <c r="N79" s="4" t="s">
        <v>26</v>
      </c>
    </row>
    <row r="80" spans="1:14" ht="48" x14ac:dyDescent="0.25">
      <c r="A80" s="2" t="s">
        <v>348</v>
      </c>
      <c r="B80" s="3" t="s">
        <v>349</v>
      </c>
      <c r="C80" s="2" t="s">
        <v>264</v>
      </c>
      <c r="D80" s="3" t="s">
        <v>265</v>
      </c>
      <c r="E80" s="3" t="s">
        <v>321</v>
      </c>
      <c r="F80" s="3" t="s">
        <v>132</v>
      </c>
      <c r="G80" s="4" t="s">
        <v>20</v>
      </c>
      <c r="H80" s="4" t="s">
        <v>20</v>
      </c>
      <c r="I80" s="2" t="s">
        <v>350</v>
      </c>
      <c r="J80" s="3" t="s">
        <v>351</v>
      </c>
      <c r="K80" s="3" t="s">
        <v>260</v>
      </c>
      <c r="L80" s="3" t="s">
        <v>352</v>
      </c>
      <c r="M80" s="4" t="s">
        <v>34</v>
      </c>
      <c r="N80" s="4" t="s">
        <v>26</v>
      </c>
    </row>
    <row r="81" spans="1:14" ht="60" x14ac:dyDescent="0.25">
      <c r="A81" s="2" t="s">
        <v>353</v>
      </c>
      <c r="B81" s="3" t="s">
        <v>354</v>
      </c>
      <c r="C81" s="2" t="s">
        <v>355</v>
      </c>
      <c r="D81" s="3" t="s">
        <v>356</v>
      </c>
      <c r="E81" s="3" t="s">
        <v>321</v>
      </c>
      <c r="F81" s="3" t="s">
        <v>41</v>
      </c>
      <c r="G81" s="4" t="s">
        <v>20</v>
      </c>
      <c r="H81" s="4" t="s">
        <v>20</v>
      </c>
      <c r="I81" s="2" t="s">
        <v>357</v>
      </c>
      <c r="J81" s="3" t="s">
        <v>358</v>
      </c>
      <c r="K81" s="3" t="s">
        <v>260</v>
      </c>
      <c r="L81" s="3" t="s">
        <v>359</v>
      </c>
      <c r="M81" s="4" t="s">
        <v>25</v>
      </c>
      <c r="N81" s="4" t="s">
        <v>26</v>
      </c>
    </row>
    <row r="82" spans="1:14" ht="72" x14ac:dyDescent="0.25">
      <c r="A82" s="2" t="s">
        <v>360</v>
      </c>
      <c r="B82" s="3" t="s">
        <v>361</v>
      </c>
      <c r="C82" s="2" t="s">
        <v>362</v>
      </c>
      <c r="D82" s="3" t="s">
        <v>363</v>
      </c>
      <c r="E82" s="3" t="s">
        <v>364</v>
      </c>
      <c r="F82" s="3" t="s">
        <v>365</v>
      </c>
      <c r="G82" s="4" t="s">
        <v>20</v>
      </c>
      <c r="H82" s="4" t="s">
        <v>20</v>
      </c>
      <c r="I82" s="2" t="s">
        <v>366</v>
      </c>
      <c r="J82" s="3" t="s">
        <v>367</v>
      </c>
      <c r="K82" s="3" t="s">
        <v>368</v>
      </c>
      <c r="L82" s="3" t="s">
        <v>369</v>
      </c>
      <c r="M82" s="4" t="s">
        <v>234</v>
      </c>
      <c r="N82" s="4" t="s">
        <v>235</v>
      </c>
    </row>
    <row r="83" spans="1:14" ht="72" x14ac:dyDescent="0.25">
      <c r="A83" s="2" t="s">
        <v>370</v>
      </c>
      <c r="B83" s="3" t="s">
        <v>371</v>
      </c>
      <c r="C83" s="2" t="s">
        <v>230</v>
      </c>
      <c r="D83" s="3" t="s">
        <v>372</v>
      </c>
      <c r="E83" s="3" t="s">
        <v>364</v>
      </c>
      <c r="F83" s="3" t="s">
        <v>41</v>
      </c>
      <c r="G83" s="4" t="s">
        <v>20</v>
      </c>
      <c r="H83" s="4" t="s">
        <v>20</v>
      </c>
      <c r="I83" s="2" t="s">
        <v>350</v>
      </c>
      <c r="J83" s="3" t="s">
        <v>351</v>
      </c>
      <c r="K83" s="3" t="s">
        <v>260</v>
      </c>
      <c r="L83" s="3" t="s">
        <v>373</v>
      </c>
      <c r="M83" s="4" t="s">
        <v>25</v>
      </c>
      <c r="N83" s="4" t="s">
        <v>26</v>
      </c>
    </row>
    <row r="84" spans="1:14" ht="36" x14ac:dyDescent="0.25">
      <c r="A84" s="2" t="s">
        <v>374</v>
      </c>
      <c r="B84" s="3" t="s">
        <v>375</v>
      </c>
      <c r="C84" s="2" t="s">
        <v>230</v>
      </c>
      <c r="D84" s="3" t="s">
        <v>372</v>
      </c>
      <c r="E84" s="3" t="s">
        <v>376</v>
      </c>
      <c r="F84" s="3" t="s">
        <v>41</v>
      </c>
      <c r="G84" s="4" t="s">
        <v>20</v>
      </c>
      <c r="H84" s="4" t="s">
        <v>20</v>
      </c>
      <c r="I84" s="2" t="s">
        <v>322</v>
      </c>
      <c r="J84" s="3" t="s">
        <v>323</v>
      </c>
      <c r="K84" s="3" t="s">
        <v>205</v>
      </c>
      <c r="L84" s="3" t="s">
        <v>377</v>
      </c>
      <c r="M84" s="4" t="s">
        <v>25</v>
      </c>
      <c r="N84" s="4" t="s">
        <v>26</v>
      </c>
    </row>
    <row r="85" spans="1:14" ht="72" x14ac:dyDescent="0.25">
      <c r="A85" s="2" t="s">
        <v>378</v>
      </c>
      <c r="B85" s="3" t="s">
        <v>379</v>
      </c>
      <c r="C85" s="2" t="s">
        <v>230</v>
      </c>
      <c r="D85" s="3" t="s">
        <v>372</v>
      </c>
      <c r="E85" s="3" t="s">
        <v>380</v>
      </c>
      <c r="F85" s="3" t="s">
        <v>41</v>
      </c>
      <c r="G85" s="4" t="s">
        <v>20</v>
      </c>
      <c r="H85" s="4" t="s">
        <v>20</v>
      </c>
      <c r="I85" s="2" t="s">
        <v>381</v>
      </c>
      <c r="J85" s="3" t="s">
        <v>382</v>
      </c>
      <c r="K85" s="3" t="s">
        <v>274</v>
      </c>
      <c r="L85" s="3" t="s">
        <v>383</v>
      </c>
      <c r="M85" s="4" t="s">
        <v>25</v>
      </c>
      <c r="N85" s="4" t="s">
        <v>26</v>
      </c>
    </row>
    <row r="86" spans="1:14" ht="36" x14ac:dyDescent="0.25">
      <c r="A86" s="2" t="s">
        <v>384</v>
      </c>
      <c r="B86" s="3" t="s">
        <v>385</v>
      </c>
      <c r="C86" s="2" t="s">
        <v>230</v>
      </c>
      <c r="D86" s="3" t="s">
        <v>372</v>
      </c>
      <c r="E86" s="3" t="s">
        <v>386</v>
      </c>
      <c r="F86" s="3" t="s">
        <v>41</v>
      </c>
      <c r="G86" s="4" t="s">
        <v>20</v>
      </c>
      <c r="H86" s="4" t="s">
        <v>20</v>
      </c>
      <c r="I86" s="2" t="s">
        <v>387</v>
      </c>
      <c r="J86" s="3" t="s">
        <v>388</v>
      </c>
      <c r="K86" s="3" t="s">
        <v>365</v>
      </c>
      <c r="L86" s="3" t="s">
        <v>389</v>
      </c>
      <c r="M86" s="4" t="s">
        <v>25</v>
      </c>
      <c r="N86" s="4" t="s">
        <v>26</v>
      </c>
    </row>
    <row r="87" spans="1:14" ht="48" x14ac:dyDescent="0.25">
      <c r="A87" s="2" t="s">
        <v>390</v>
      </c>
      <c r="B87" s="3" t="s">
        <v>391</v>
      </c>
      <c r="C87" s="2" t="s">
        <v>392</v>
      </c>
      <c r="D87" s="3" t="s">
        <v>393</v>
      </c>
      <c r="E87" s="3" t="s">
        <v>394</v>
      </c>
      <c r="F87" s="3" t="s">
        <v>240</v>
      </c>
      <c r="G87" s="4" t="s">
        <v>32</v>
      </c>
      <c r="H87" s="4" t="s">
        <v>32</v>
      </c>
      <c r="I87" s="2" t="s">
        <v>392</v>
      </c>
      <c r="J87" s="3" t="s">
        <v>395</v>
      </c>
      <c r="K87" s="3" t="s">
        <v>240</v>
      </c>
      <c r="L87" s="3" t="s">
        <v>396</v>
      </c>
      <c r="M87" s="4" t="s">
        <v>34</v>
      </c>
      <c r="N87" s="4" t="s">
        <v>63</v>
      </c>
    </row>
    <row r="88" spans="1:14" ht="48" x14ac:dyDescent="0.25">
      <c r="A88" s="2" t="s">
        <v>397</v>
      </c>
      <c r="B88" s="3" t="s">
        <v>398</v>
      </c>
      <c r="C88" s="2" t="s">
        <v>392</v>
      </c>
      <c r="D88" s="3" t="s">
        <v>393</v>
      </c>
      <c r="E88" s="3" t="s">
        <v>399</v>
      </c>
      <c r="F88" s="3" t="s">
        <v>240</v>
      </c>
      <c r="G88" s="4" t="s">
        <v>32</v>
      </c>
      <c r="H88" s="4" t="s">
        <v>32</v>
      </c>
      <c r="I88" s="2" t="s">
        <v>392</v>
      </c>
      <c r="J88" s="3" t="s">
        <v>395</v>
      </c>
      <c r="K88" s="3" t="s">
        <v>240</v>
      </c>
      <c r="L88" s="3" t="s">
        <v>396</v>
      </c>
      <c r="M88" s="4" t="s">
        <v>34</v>
      </c>
      <c r="N88" s="4" t="s">
        <v>63</v>
      </c>
    </row>
    <row r="89" spans="1:14" ht="48" x14ac:dyDescent="0.25">
      <c r="A89" s="2" t="s">
        <v>400</v>
      </c>
      <c r="B89" s="3" t="s">
        <v>401</v>
      </c>
      <c r="C89" s="2" t="s">
        <v>392</v>
      </c>
      <c r="D89" s="3" t="s">
        <v>393</v>
      </c>
      <c r="E89" s="3" t="s">
        <v>399</v>
      </c>
      <c r="F89" s="3" t="s">
        <v>240</v>
      </c>
      <c r="G89" s="4" t="s">
        <v>32</v>
      </c>
      <c r="H89" s="4" t="s">
        <v>32</v>
      </c>
      <c r="I89" s="2" t="s">
        <v>392</v>
      </c>
      <c r="J89" s="3" t="s">
        <v>395</v>
      </c>
      <c r="K89" s="3" t="s">
        <v>240</v>
      </c>
      <c r="L89" s="3" t="s">
        <v>396</v>
      </c>
      <c r="M89" s="4" t="s">
        <v>34</v>
      </c>
      <c r="N89" s="4" t="s">
        <v>63</v>
      </c>
    </row>
    <row r="90" spans="1:14" ht="48" x14ac:dyDescent="0.25">
      <c r="A90" s="2" t="s">
        <v>402</v>
      </c>
      <c r="B90" s="3" t="s">
        <v>403</v>
      </c>
      <c r="C90" s="2" t="s">
        <v>392</v>
      </c>
      <c r="D90" s="3" t="s">
        <v>393</v>
      </c>
      <c r="E90" s="3" t="s">
        <v>399</v>
      </c>
      <c r="F90" s="3" t="s">
        <v>240</v>
      </c>
      <c r="G90" s="4" t="s">
        <v>32</v>
      </c>
      <c r="H90" s="4" t="s">
        <v>32</v>
      </c>
      <c r="I90" s="2" t="s">
        <v>392</v>
      </c>
      <c r="J90" s="3" t="s">
        <v>395</v>
      </c>
      <c r="K90" s="3" t="s">
        <v>240</v>
      </c>
      <c r="L90" s="3" t="s">
        <v>396</v>
      </c>
      <c r="M90" s="4" t="s">
        <v>34</v>
      </c>
      <c r="N90" s="4" t="s">
        <v>63</v>
      </c>
    </row>
    <row r="91" spans="1:14" ht="48" x14ac:dyDescent="0.25">
      <c r="A91" s="2" t="s">
        <v>404</v>
      </c>
      <c r="B91" s="3" t="s">
        <v>405</v>
      </c>
      <c r="C91" s="2" t="s">
        <v>392</v>
      </c>
      <c r="D91" s="3" t="s">
        <v>393</v>
      </c>
      <c r="E91" s="3" t="s">
        <v>399</v>
      </c>
      <c r="F91" s="3" t="s">
        <v>240</v>
      </c>
      <c r="G91" s="4" t="s">
        <v>32</v>
      </c>
      <c r="H91" s="4" t="s">
        <v>32</v>
      </c>
      <c r="I91" s="2" t="s">
        <v>392</v>
      </c>
      <c r="J91" s="3" t="s">
        <v>395</v>
      </c>
      <c r="K91" s="3" t="s">
        <v>240</v>
      </c>
      <c r="L91" s="3" t="s">
        <v>396</v>
      </c>
      <c r="M91" s="4" t="s">
        <v>34</v>
      </c>
      <c r="N91" s="4" t="s">
        <v>63</v>
      </c>
    </row>
    <row r="92" spans="1:14" ht="48" x14ac:dyDescent="0.25">
      <c r="A92" s="2" t="s">
        <v>406</v>
      </c>
      <c r="B92" s="3" t="s">
        <v>407</v>
      </c>
      <c r="C92" s="2" t="s">
        <v>392</v>
      </c>
      <c r="D92" s="3" t="s">
        <v>393</v>
      </c>
      <c r="E92" s="3" t="s">
        <v>399</v>
      </c>
      <c r="F92" s="3" t="s">
        <v>240</v>
      </c>
      <c r="G92" s="4" t="s">
        <v>32</v>
      </c>
      <c r="H92" s="4" t="s">
        <v>32</v>
      </c>
      <c r="I92" s="2" t="s">
        <v>392</v>
      </c>
      <c r="J92" s="3" t="s">
        <v>395</v>
      </c>
      <c r="K92" s="3" t="s">
        <v>240</v>
      </c>
      <c r="L92" s="3" t="s">
        <v>396</v>
      </c>
      <c r="M92" s="4" t="s">
        <v>34</v>
      </c>
      <c r="N92" s="4" t="s">
        <v>63</v>
      </c>
    </row>
    <row r="93" spans="1:14" ht="48" x14ac:dyDescent="0.25">
      <c r="A93" s="2" t="s">
        <v>408</v>
      </c>
      <c r="B93" s="3" t="s">
        <v>409</v>
      </c>
      <c r="C93" s="2" t="s">
        <v>392</v>
      </c>
      <c r="D93" s="3" t="s">
        <v>393</v>
      </c>
      <c r="E93" s="3" t="s">
        <v>410</v>
      </c>
      <c r="F93" s="3" t="s">
        <v>240</v>
      </c>
      <c r="G93" s="4" t="s">
        <v>32</v>
      </c>
      <c r="H93" s="4" t="s">
        <v>32</v>
      </c>
      <c r="I93" s="2" t="s">
        <v>392</v>
      </c>
      <c r="J93" s="3" t="s">
        <v>395</v>
      </c>
      <c r="K93" s="3" t="s">
        <v>240</v>
      </c>
      <c r="L93" s="3" t="s">
        <v>396</v>
      </c>
      <c r="M93" s="4" t="s">
        <v>34</v>
      </c>
      <c r="N93" s="4" t="s">
        <v>63</v>
      </c>
    </row>
    <row r="94" spans="1:14" ht="48" x14ac:dyDescent="0.25">
      <c r="A94" s="2" t="s">
        <v>411</v>
      </c>
      <c r="B94" s="3" t="s">
        <v>412</v>
      </c>
      <c r="C94" s="2" t="s">
        <v>392</v>
      </c>
      <c r="D94" s="3" t="s">
        <v>393</v>
      </c>
      <c r="E94" s="3" t="s">
        <v>413</v>
      </c>
      <c r="F94" s="3" t="s">
        <v>240</v>
      </c>
      <c r="G94" s="4" t="s">
        <v>32</v>
      </c>
      <c r="H94" s="4" t="s">
        <v>32</v>
      </c>
      <c r="I94" s="2" t="s">
        <v>392</v>
      </c>
      <c r="J94" s="3" t="s">
        <v>395</v>
      </c>
      <c r="K94" s="3" t="s">
        <v>240</v>
      </c>
      <c r="L94" s="3" t="s">
        <v>396</v>
      </c>
      <c r="M94" s="4" t="s">
        <v>34</v>
      </c>
      <c r="N94" s="4" t="s">
        <v>63</v>
      </c>
    </row>
    <row r="95" spans="1:14" ht="36" x14ac:dyDescent="0.25">
      <c r="A95" s="2" t="s">
        <v>414</v>
      </c>
      <c r="B95" s="3" t="s">
        <v>415</v>
      </c>
      <c r="C95" s="2" t="s">
        <v>416</v>
      </c>
      <c r="D95" s="3" t="s">
        <v>417</v>
      </c>
      <c r="E95" s="3" t="s">
        <v>418</v>
      </c>
      <c r="F95" s="3" t="s">
        <v>41</v>
      </c>
      <c r="G95" s="4" t="s">
        <v>32</v>
      </c>
      <c r="H95" s="4" t="s">
        <v>20</v>
      </c>
      <c r="I95" s="2" t="s">
        <v>392</v>
      </c>
      <c r="J95" s="3" t="s">
        <v>395</v>
      </c>
      <c r="K95" s="3" t="s">
        <v>240</v>
      </c>
      <c r="L95" s="3" t="s">
        <v>419</v>
      </c>
      <c r="M95" s="4" t="s">
        <v>25</v>
      </c>
      <c r="N95" s="4" t="s">
        <v>26</v>
      </c>
    </row>
    <row r="96" spans="1:14" ht="48" x14ac:dyDescent="0.25">
      <c r="A96" s="2" t="s">
        <v>420</v>
      </c>
      <c r="B96" s="3" t="s">
        <v>421</v>
      </c>
      <c r="C96" s="2" t="s">
        <v>392</v>
      </c>
      <c r="D96" s="3" t="s">
        <v>393</v>
      </c>
      <c r="E96" s="3" t="s">
        <v>422</v>
      </c>
      <c r="F96" s="3" t="s">
        <v>240</v>
      </c>
      <c r="G96" s="4" t="s">
        <v>32</v>
      </c>
      <c r="H96" s="4" t="s">
        <v>32</v>
      </c>
      <c r="I96" s="2" t="s">
        <v>392</v>
      </c>
      <c r="J96" s="3" t="s">
        <v>395</v>
      </c>
      <c r="K96" s="3" t="s">
        <v>240</v>
      </c>
      <c r="L96" s="3" t="s">
        <v>396</v>
      </c>
      <c r="M96" s="4" t="s">
        <v>34</v>
      </c>
      <c r="N96" s="4" t="s">
        <v>63</v>
      </c>
    </row>
    <row r="97" spans="1:14" ht="48" x14ac:dyDescent="0.25">
      <c r="A97" s="2" t="s">
        <v>423</v>
      </c>
      <c r="B97" s="3" t="s">
        <v>424</v>
      </c>
      <c r="C97" s="2" t="s">
        <v>392</v>
      </c>
      <c r="D97" s="3" t="s">
        <v>393</v>
      </c>
      <c r="E97" s="3" t="s">
        <v>422</v>
      </c>
      <c r="F97" s="3" t="s">
        <v>240</v>
      </c>
      <c r="G97" s="4" t="s">
        <v>32</v>
      </c>
      <c r="H97" s="4" t="s">
        <v>32</v>
      </c>
      <c r="I97" s="2" t="s">
        <v>392</v>
      </c>
      <c r="J97" s="3" t="s">
        <v>395</v>
      </c>
      <c r="K97" s="3" t="s">
        <v>240</v>
      </c>
      <c r="L97" s="3" t="s">
        <v>396</v>
      </c>
      <c r="M97" s="4" t="s">
        <v>34</v>
      </c>
      <c r="N97" s="4" t="s">
        <v>63</v>
      </c>
    </row>
    <row r="98" spans="1:14" ht="48" x14ac:dyDescent="0.25">
      <c r="A98" s="2" t="s">
        <v>425</v>
      </c>
      <c r="B98" s="3" t="s">
        <v>426</v>
      </c>
      <c r="C98" s="2" t="s">
        <v>392</v>
      </c>
      <c r="D98" s="3" t="s">
        <v>393</v>
      </c>
      <c r="E98" s="3" t="s">
        <v>427</v>
      </c>
      <c r="F98" s="3" t="s">
        <v>240</v>
      </c>
      <c r="G98" s="4" t="s">
        <v>32</v>
      </c>
      <c r="H98" s="4" t="s">
        <v>32</v>
      </c>
      <c r="I98" s="2" t="s">
        <v>392</v>
      </c>
      <c r="J98" s="3" t="s">
        <v>395</v>
      </c>
      <c r="K98" s="3" t="s">
        <v>240</v>
      </c>
      <c r="L98" s="3" t="s">
        <v>396</v>
      </c>
      <c r="M98" s="4" t="s">
        <v>34</v>
      </c>
      <c r="N98" s="4" t="s">
        <v>63</v>
      </c>
    </row>
    <row r="99" spans="1:14" ht="48" x14ac:dyDescent="0.25">
      <c r="A99" s="2" t="s">
        <v>428</v>
      </c>
      <c r="B99" s="3" t="s">
        <v>429</v>
      </c>
      <c r="C99" s="2" t="s">
        <v>392</v>
      </c>
      <c r="D99" s="3" t="s">
        <v>393</v>
      </c>
      <c r="E99" s="3" t="s">
        <v>430</v>
      </c>
      <c r="F99" s="3" t="s">
        <v>240</v>
      </c>
      <c r="G99" s="4" t="s">
        <v>32</v>
      </c>
      <c r="H99" s="4" t="s">
        <v>32</v>
      </c>
      <c r="I99" s="2" t="s">
        <v>392</v>
      </c>
      <c r="J99" s="3" t="s">
        <v>395</v>
      </c>
      <c r="K99" s="3" t="s">
        <v>240</v>
      </c>
      <c r="L99" s="3" t="s">
        <v>396</v>
      </c>
      <c r="M99" s="4" t="s">
        <v>34</v>
      </c>
      <c r="N99" s="4" t="s">
        <v>63</v>
      </c>
    </row>
    <row r="100" spans="1:14" ht="48" x14ac:dyDescent="0.25">
      <c r="A100" s="2" t="s">
        <v>431</v>
      </c>
      <c r="B100" s="3" t="s">
        <v>432</v>
      </c>
      <c r="C100" s="2" t="s">
        <v>392</v>
      </c>
      <c r="D100" s="3" t="s">
        <v>393</v>
      </c>
      <c r="E100" s="3" t="s">
        <v>433</v>
      </c>
      <c r="F100" s="3" t="s">
        <v>240</v>
      </c>
      <c r="G100" s="4" t="s">
        <v>32</v>
      </c>
      <c r="H100" s="4" t="s">
        <v>32</v>
      </c>
      <c r="I100" s="2" t="s">
        <v>392</v>
      </c>
      <c r="J100" s="3" t="s">
        <v>395</v>
      </c>
      <c r="K100" s="3" t="s">
        <v>240</v>
      </c>
      <c r="L100" s="3" t="s">
        <v>396</v>
      </c>
      <c r="M100" s="4" t="s">
        <v>34</v>
      </c>
      <c r="N100" s="4" t="s">
        <v>63</v>
      </c>
    </row>
    <row r="101" spans="1:14" ht="48" x14ac:dyDescent="0.25">
      <c r="A101" s="2" t="s">
        <v>434</v>
      </c>
      <c r="B101" s="3" t="s">
        <v>435</v>
      </c>
      <c r="C101" s="2" t="s">
        <v>392</v>
      </c>
      <c r="D101" s="3" t="s">
        <v>393</v>
      </c>
      <c r="E101" s="3" t="s">
        <v>436</v>
      </c>
      <c r="F101" s="3" t="s">
        <v>240</v>
      </c>
      <c r="G101" s="4" t="s">
        <v>32</v>
      </c>
      <c r="H101" s="4" t="s">
        <v>32</v>
      </c>
      <c r="I101" s="2" t="s">
        <v>392</v>
      </c>
      <c r="J101" s="3" t="s">
        <v>395</v>
      </c>
      <c r="K101" s="3" t="s">
        <v>240</v>
      </c>
      <c r="L101" s="3" t="s">
        <v>396</v>
      </c>
      <c r="M101" s="4" t="s">
        <v>34</v>
      </c>
      <c r="N101" s="4" t="s">
        <v>63</v>
      </c>
    </row>
    <row r="102" spans="1:14" ht="48" x14ac:dyDescent="0.25">
      <c r="A102" s="2" t="s">
        <v>437</v>
      </c>
      <c r="B102" s="3" t="s">
        <v>438</v>
      </c>
      <c r="C102" s="2" t="s">
        <v>392</v>
      </c>
      <c r="D102" s="3" t="s">
        <v>393</v>
      </c>
      <c r="E102" s="3" t="s">
        <v>436</v>
      </c>
      <c r="F102" s="3" t="s">
        <v>240</v>
      </c>
      <c r="G102" s="4" t="s">
        <v>32</v>
      </c>
      <c r="H102" s="4" t="s">
        <v>32</v>
      </c>
      <c r="I102" s="2" t="s">
        <v>392</v>
      </c>
      <c r="J102" s="3" t="s">
        <v>395</v>
      </c>
      <c r="K102" s="3" t="s">
        <v>240</v>
      </c>
      <c r="L102" s="3" t="s">
        <v>396</v>
      </c>
      <c r="M102" s="4" t="s">
        <v>34</v>
      </c>
      <c r="N102" s="4" t="s">
        <v>63</v>
      </c>
    </row>
    <row r="103" spans="1:14" ht="48" x14ac:dyDescent="0.25">
      <c r="A103" s="2" t="s">
        <v>439</v>
      </c>
      <c r="B103" s="3" t="s">
        <v>440</v>
      </c>
      <c r="C103" s="2" t="s">
        <v>392</v>
      </c>
      <c r="D103" s="3" t="s">
        <v>393</v>
      </c>
      <c r="E103" s="3" t="s">
        <v>436</v>
      </c>
      <c r="F103" s="3" t="s">
        <v>240</v>
      </c>
      <c r="G103" s="4" t="s">
        <v>32</v>
      </c>
      <c r="H103" s="4" t="s">
        <v>32</v>
      </c>
      <c r="I103" s="2" t="s">
        <v>392</v>
      </c>
      <c r="J103" s="3" t="s">
        <v>395</v>
      </c>
      <c r="K103" s="3" t="s">
        <v>240</v>
      </c>
      <c r="L103" s="3" t="s">
        <v>396</v>
      </c>
      <c r="M103" s="4" t="s">
        <v>34</v>
      </c>
      <c r="N103" s="4" t="s">
        <v>63</v>
      </c>
    </row>
    <row r="104" spans="1:14" ht="36" x14ac:dyDescent="0.25">
      <c r="A104" s="2" t="s">
        <v>441</v>
      </c>
      <c r="B104" s="3" t="s">
        <v>442</v>
      </c>
      <c r="C104" s="2" t="s">
        <v>443</v>
      </c>
      <c r="D104" s="3" t="s">
        <v>444</v>
      </c>
      <c r="E104" s="3" t="s">
        <v>445</v>
      </c>
      <c r="F104" s="3" t="s">
        <v>240</v>
      </c>
      <c r="G104" s="4" t="s">
        <v>32</v>
      </c>
      <c r="H104" s="4" t="s">
        <v>32</v>
      </c>
      <c r="I104" s="2" t="s">
        <v>443</v>
      </c>
      <c r="J104" s="3" t="s">
        <v>446</v>
      </c>
      <c r="K104" s="3" t="s">
        <v>240</v>
      </c>
      <c r="L104" s="3" t="s">
        <v>447</v>
      </c>
      <c r="M104" s="4" t="s">
        <v>34</v>
      </c>
      <c r="N104" s="4" t="s">
        <v>63</v>
      </c>
    </row>
    <row r="105" spans="1:14" ht="36" x14ac:dyDescent="0.25">
      <c r="A105" s="2" t="s">
        <v>448</v>
      </c>
      <c r="B105" s="3" t="s">
        <v>449</v>
      </c>
      <c r="C105" s="2" t="s">
        <v>443</v>
      </c>
      <c r="D105" s="3" t="s">
        <v>444</v>
      </c>
      <c r="E105" s="3" t="s">
        <v>445</v>
      </c>
      <c r="F105" s="3" t="s">
        <v>240</v>
      </c>
      <c r="G105" s="4" t="s">
        <v>32</v>
      </c>
      <c r="H105" s="4" t="s">
        <v>32</v>
      </c>
      <c r="I105" s="2" t="s">
        <v>443</v>
      </c>
      <c r="J105" s="3" t="s">
        <v>446</v>
      </c>
      <c r="K105" s="3" t="s">
        <v>240</v>
      </c>
      <c r="L105" s="3" t="s">
        <v>447</v>
      </c>
      <c r="M105" s="4" t="s">
        <v>34</v>
      </c>
      <c r="N105" s="4" t="s">
        <v>63</v>
      </c>
    </row>
    <row r="106" spans="1:14" ht="36" x14ac:dyDescent="0.25">
      <c r="A106" s="2" t="s">
        <v>450</v>
      </c>
      <c r="B106" s="3" t="s">
        <v>451</v>
      </c>
      <c r="C106" s="2" t="s">
        <v>443</v>
      </c>
      <c r="D106" s="3" t="s">
        <v>444</v>
      </c>
      <c r="E106" s="3" t="s">
        <v>445</v>
      </c>
      <c r="F106" s="3" t="s">
        <v>240</v>
      </c>
      <c r="G106" s="4" t="s">
        <v>32</v>
      </c>
      <c r="H106" s="4" t="s">
        <v>32</v>
      </c>
      <c r="I106" s="2" t="s">
        <v>443</v>
      </c>
      <c r="J106" s="3" t="s">
        <v>446</v>
      </c>
      <c r="K106" s="3" t="s">
        <v>240</v>
      </c>
      <c r="L106" s="3" t="s">
        <v>447</v>
      </c>
      <c r="M106" s="4" t="s">
        <v>34</v>
      </c>
      <c r="N106" s="4" t="s">
        <v>63</v>
      </c>
    </row>
    <row r="107" spans="1:14" ht="36" x14ac:dyDescent="0.25">
      <c r="A107" s="2" t="s">
        <v>452</v>
      </c>
      <c r="B107" s="3" t="s">
        <v>453</v>
      </c>
      <c r="C107" s="2" t="s">
        <v>443</v>
      </c>
      <c r="D107" s="3" t="s">
        <v>444</v>
      </c>
      <c r="E107" s="3" t="s">
        <v>445</v>
      </c>
      <c r="F107" s="3" t="s">
        <v>240</v>
      </c>
      <c r="G107" s="4" t="s">
        <v>32</v>
      </c>
      <c r="H107" s="4" t="s">
        <v>32</v>
      </c>
      <c r="I107" s="2" t="s">
        <v>443</v>
      </c>
      <c r="J107" s="3" t="s">
        <v>446</v>
      </c>
      <c r="K107" s="3" t="s">
        <v>240</v>
      </c>
      <c r="L107" s="3" t="s">
        <v>447</v>
      </c>
      <c r="M107" s="4" t="s">
        <v>34</v>
      </c>
      <c r="N107" s="4" t="s">
        <v>63</v>
      </c>
    </row>
    <row r="108" spans="1:14" ht="24" x14ac:dyDescent="0.25">
      <c r="A108" s="2" t="s">
        <v>454</v>
      </c>
      <c r="B108" s="3" t="s">
        <v>455</v>
      </c>
      <c r="C108" s="2" t="s">
        <v>456</v>
      </c>
      <c r="D108" s="3" t="s">
        <v>455</v>
      </c>
      <c r="E108" s="3" t="s">
        <v>457</v>
      </c>
      <c r="F108" s="3" t="s">
        <v>260</v>
      </c>
      <c r="G108" s="4" t="s">
        <v>32</v>
      </c>
      <c r="H108" s="4" t="s">
        <v>32</v>
      </c>
      <c r="I108" s="2" t="s">
        <v>456</v>
      </c>
      <c r="J108" s="3" t="s">
        <v>458</v>
      </c>
      <c r="K108" s="3" t="s">
        <v>260</v>
      </c>
      <c r="L108" s="3" t="s">
        <v>459</v>
      </c>
      <c r="M108" s="4" t="s">
        <v>34</v>
      </c>
      <c r="N108" s="4" t="s">
        <v>63</v>
      </c>
    </row>
    <row r="109" spans="1:14" ht="36" x14ac:dyDescent="0.25">
      <c r="A109" s="2" t="s">
        <v>460</v>
      </c>
      <c r="B109" s="3" t="s">
        <v>461</v>
      </c>
      <c r="C109" s="2" t="s">
        <v>66</v>
      </c>
      <c r="D109" s="3"/>
      <c r="E109" s="3" t="s">
        <v>462</v>
      </c>
      <c r="F109" s="3"/>
      <c r="G109" s="4" t="s">
        <v>68</v>
      </c>
      <c r="H109" s="4" t="s">
        <v>68</v>
      </c>
      <c r="I109" s="2"/>
      <c r="J109" s="3"/>
      <c r="K109" s="3"/>
      <c r="L109" s="3" t="s">
        <v>463</v>
      </c>
      <c r="M109" s="4" t="s">
        <v>34</v>
      </c>
      <c r="N109" s="4" t="s">
        <v>35</v>
      </c>
    </row>
    <row r="110" spans="1:14" ht="36" x14ac:dyDescent="0.25">
      <c r="A110" s="2" t="s">
        <v>464</v>
      </c>
      <c r="B110" s="3" t="s">
        <v>221</v>
      </c>
      <c r="C110" s="2" t="s">
        <v>222</v>
      </c>
      <c r="D110" s="3" t="s">
        <v>223</v>
      </c>
      <c r="E110" s="3" t="s">
        <v>204</v>
      </c>
      <c r="F110" s="3" t="s">
        <v>224</v>
      </c>
      <c r="G110" s="4" t="s">
        <v>20</v>
      </c>
      <c r="H110" s="4" t="s">
        <v>20</v>
      </c>
      <c r="I110" s="2" t="s">
        <v>225</v>
      </c>
      <c r="J110" s="3" t="s">
        <v>226</v>
      </c>
      <c r="K110" s="3" t="s">
        <v>205</v>
      </c>
      <c r="L110" s="3" t="s">
        <v>465</v>
      </c>
      <c r="M110" s="4" t="s">
        <v>25</v>
      </c>
      <c r="N110" s="4" t="s">
        <v>26</v>
      </c>
    </row>
    <row r="111" spans="1:14" ht="24" x14ac:dyDescent="0.25">
      <c r="A111" s="2" t="s">
        <v>466</v>
      </c>
      <c r="B111" s="3" t="s">
        <v>467</v>
      </c>
      <c r="C111" s="2" t="s">
        <v>468</v>
      </c>
      <c r="D111" s="3" t="s">
        <v>469</v>
      </c>
      <c r="E111" s="3" t="s">
        <v>470</v>
      </c>
      <c r="F111" s="3" t="s">
        <v>471</v>
      </c>
      <c r="G111" s="4" t="s">
        <v>20</v>
      </c>
      <c r="H111" s="4" t="s">
        <v>20</v>
      </c>
      <c r="I111" s="2" t="s">
        <v>472</v>
      </c>
      <c r="J111" s="3" t="s">
        <v>473</v>
      </c>
      <c r="K111" s="3" t="s">
        <v>474</v>
      </c>
      <c r="L111" s="3" t="s">
        <v>475</v>
      </c>
      <c r="M111" s="4" t="s">
        <v>34</v>
      </c>
      <c r="N111" s="4" t="s">
        <v>26</v>
      </c>
    </row>
    <row r="112" spans="1:14" ht="24" x14ac:dyDescent="0.25">
      <c r="A112" s="2" t="s">
        <v>476</v>
      </c>
      <c r="B112" s="3" t="s">
        <v>477</v>
      </c>
      <c r="C112" s="2" t="s">
        <v>478</v>
      </c>
      <c r="D112" s="3" t="s">
        <v>477</v>
      </c>
      <c r="E112" s="3" t="s">
        <v>479</v>
      </c>
      <c r="F112" s="3" t="s">
        <v>471</v>
      </c>
      <c r="G112" s="4" t="s">
        <v>32</v>
      </c>
      <c r="H112" s="4" t="s">
        <v>32</v>
      </c>
      <c r="I112" s="2" t="s">
        <v>478</v>
      </c>
      <c r="J112" s="3" t="s">
        <v>480</v>
      </c>
      <c r="K112" s="3" t="s">
        <v>471</v>
      </c>
      <c r="L112" s="3" t="s">
        <v>481</v>
      </c>
      <c r="M112" s="4" t="s">
        <v>34</v>
      </c>
      <c r="N112" s="4" t="s">
        <v>63</v>
      </c>
    </row>
    <row r="113" spans="1:14" ht="48" x14ac:dyDescent="0.25">
      <c r="A113" s="2" t="s">
        <v>482</v>
      </c>
      <c r="B113" s="3" t="s">
        <v>483</v>
      </c>
      <c r="C113" s="2" t="s">
        <v>484</v>
      </c>
      <c r="D113" s="3" t="s">
        <v>485</v>
      </c>
      <c r="E113" s="3" t="s">
        <v>486</v>
      </c>
      <c r="F113" s="3" t="s">
        <v>41</v>
      </c>
      <c r="G113" s="4" t="s">
        <v>32</v>
      </c>
      <c r="H113" s="4" t="s">
        <v>20</v>
      </c>
      <c r="I113" s="2" t="s">
        <v>487</v>
      </c>
      <c r="J113" s="3" t="s">
        <v>488</v>
      </c>
      <c r="K113" s="3" t="s">
        <v>471</v>
      </c>
      <c r="L113" s="3" t="s">
        <v>489</v>
      </c>
      <c r="M113" s="4" t="s">
        <v>25</v>
      </c>
      <c r="N113" s="4" t="s">
        <v>26</v>
      </c>
    </row>
    <row r="114" spans="1:14" ht="48" x14ac:dyDescent="0.25">
      <c r="A114" s="2" t="s">
        <v>490</v>
      </c>
      <c r="B114" s="3" t="s">
        <v>491</v>
      </c>
      <c r="C114" s="2" t="s">
        <v>484</v>
      </c>
      <c r="D114" s="3" t="s">
        <v>485</v>
      </c>
      <c r="E114" s="3" t="s">
        <v>486</v>
      </c>
      <c r="F114" s="3" t="s">
        <v>41</v>
      </c>
      <c r="G114" s="4" t="s">
        <v>32</v>
      </c>
      <c r="H114" s="4" t="s">
        <v>20</v>
      </c>
      <c r="I114" s="2" t="s">
        <v>487</v>
      </c>
      <c r="J114" s="3" t="s">
        <v>488</v>
      </c>
      <c r="K114" s="3" t="s">
        <v>471</v>
      </c>
      <c r="L114" s="3" t="s">
        <v>489</v>
      </c>
      <c r="M114" s="4" t="s">
        <v>25</v>
      </c>
      <c r="N114" s="4" t="s">
        <v>26</v>
      </c>
    </row>
    <row r="115" spans="1:14" ht="48" x14ac:dyDescent="0.25">
      <c r="A115" s="2" t="s">
        <v>492</v>
      </c>
      <c r="B115" s="3" t="s">
        <v>493</v>
      </c>
      <c r="C115" s="2" t="s">
        <v>484</v>
      </c>
      <c r="D115" s="3" t="s">
        <v>485</v>
      </c>
      <c r="E115" s="3" t="s">
        <v>486</v>
      </c>
      <c r="F115" s="3" t="s">
        <v>41</v>
      </c>
      <c r="G115" s="4" t="s">
        <v>32</v>
      </c>
      <c r="H115" s="4" t="s">
        <v>20</v>
      </c>
      <c r="I115" s="2" t="s">
        <v>487</v>
      </c>
      <c r="J115" s="3" t="s">
        <v>488</v>
      </c>
      <c r="K115" s="3" t="s">
        <v>471</v>
      </c>
      <c r="L115" s="3" t="s">
        <v>489</v>
      </c>
      <c r="M115" s="4" t="s">
        <v>25</v>
      </c>
      <c r="N115" s="4" t="s">
        <v>26</v>
      </c>
    </row>
    <row r="116" spans="1:14" ht="24" x14ac:dyDescent="0.25">
      <c r="A116" s="2" t="s">
        <v>494</v>
      </c>
      <c r="B116" s="3" t="s">
        <v>495</v>
      </c>
      <c r="C116" s="2" t="s">
        <v>496</v>
      </c>
      <c r="D116" s="3" t="s">
        <v>497</v>
      </c>
      <c r="E116" s="3" t="s">
        <v>498</v>
      </c>
      <c r="F116" s="3" t="s">
        <v>499</v>
      </c>
      <c r="G116" s="4" t="s">
        <v>20</v>
      </c>
      <c r="H116" s="4" t="s">
        <v>20</v>
      </c>
      <c r="I116" s="2" t="s">
        <v>500</v>
      </c>
      <c r="J116" s="3" t="s">
        <v>501</v>
      </c>
      <c r="K116" s="3" t="s">
        <v>474</v>
      </c>
      <c r="L116" s="3" t="s">
        <v>502</v>
      </c>
      <c r="M116" s="4" t="s">
        <v>34</v>
      </c>
      <c r="N116" s="4" t="s">
        <v>26</v>
      </c>
    </row>
    <row r="117" spans="1:14" ht="48" x14ac:dyDescent="0.25">
      <c r="A117" s="2" t="s">
        <v>503</v>
      </c>
      <c r="B117" s="3" t="s">
        <v>504</v>
      </c>
      <c r="C117" s="2" t="s">
        <v>505</v>
      </c>
      <c r="D117" s="3" t="s">
        <v>506</v>
      </c>
      <c r="E117" s="3" t="s">
        <v>507</v>
      </c>
      <c r="F117" s="3" t="s">
        <v>499</v>
      </c>
      <c r="G117" s="4" t="s">
        <v>32</v>
      </c>
      <c r="H117" s="4" t="s">
        <v>32</v>
      </c>
      <c r="I117" s="2" t="s">
        <v>505</v>
      </c>
      <c r="J117" s="3" t="s">
        <v>508</v>
      </c>
      <c r="K117" s="3" t="s">
        <v>499</v>
      </c>
      <c r="L117" s="3" t="s">
        <v>509</v>
      </c>
      <c r="M117" s="4" t="s">
        <v>25</v>
      </c>
      <c r="N117" s="4" t="s">
        <v>63</v>
      </c>
    </row>
    <row r="118" spans="1:14" ht="48" x14ac:dyDescent="0.25">
      <c r="A118" s="2" t="s">
        <v>510</v>
      </c>
      <c r="B118" s="3" t="s">
        <v>511</v>
      </c>
      <c r="C118" s="2" t="s">
        <v>512</v>
      </c>
      <c r="D118" s="3" t="s">
        <v>513</v>
      </c>
      <c r="E118" s="3" t="s">
        <v>514</v>
      </c>
      <c r="F118" s="3" t="s">
        <v>471</v>
      </c>
      <c r="G118" s="4" t="s">
        <v>20</v>
      </c>
      <c r="H118" s="4" t="s">
        <v>20</v>
      </c>
      <c r="I118" s="2"/>
      <c r="J118" s="3"/>
      <c r="K118" s="3"/>
      <c r="L118" s="3" t="s">
        <v>515</v>
      </c>
      <c r="M118" s="4" t="s">
        <v>34</v>
      </c>
      <c r="N118" s="4" t="s">
        <v>35</v>
      </c>
    </row>
    <row r="119" spans="1:14" ht="48" x14ac:dyDescent="0.25">
      <c r="A119" s="2" t="s">
        <v>516</v>
      </c>
      <c r="B119" s="3" t="s">
        <v>517</v>
      </c>
      <c r="C119" s="2" t="s">
        <v>512</v>
      </c>
      <c r="D119" s="3" t="s">
        <v>513</v>
      </c>
      <c r="E119" s="3" t="s">
        <v>514</v>
      </c>
      <c r="F119" s="3" t="s">
        <v>471</v>
      </c>
      <c r="G119" s="4" t="s">
        <v>20</v>
      </c>
      <c r="H119" s="4" t="s">
        <v>20</v>
      </c>
      <c r="I119" s="2"/>
      <c r="J119" s="3"/>
      <c r="K119" s="3"/>
      <c r="L119" s="3" t="s">
        <v>515</v>
      </c>
      <c r="M119" s="4" t="s">
        <v>34</v>
      </c>
      <c r="N119" s="4" t="s">
        <v>35</v>
      </c>
    </row>
    <row r="120" spans="1:14" ht="48" x14ac:dyDescent="0.25">
      <c r="A120" s="2" t="s">
        <v>518</v>
      </c>
      <c r="B120" s="3" t="s">
        <v>519</v>
      </c>
      <c r="C120" s="2" t="s">
        <v>512</v>
      </c>
      <c r="D120" s="3" t="s">
        <v>513</v>
      </c>
      <c r="E120" s="3" t="s">
        <v>514</v>
      </c>
      <c r="F120" s="3" t="s">
        <v>471</v>
      </c>
      <c r="G120" s="4" t="s">
        <v>20</v>
      </c>
      <c r="H120" s="4" t="s">
        <v>20</v>
      </c>
      <c r="I120" s="2"/>
      <c r="J120" s="3"/>
      <c r="K120" s="3"/>
      <c r="L120" s="3" t="s">
        <v>515</v>
      </c>
      <c r="M120" s="4" t="s">
        <v>34</v>
      </c>
      <c r="N120" s="4" t="s">
        <v>35</v>
      </c>
    </row>
    <row r="121" spans="1:14" ht="36" x14ac:dyDescent="0.25">
      <c r="A121" s="2" t="s">
        <v>520</v>
      </c>
      <c r="B121" s="3" t="s">
        <v>521</v>
      </c>
      <c r="C121" s="2" t="s">
        <v>66</v>
      </c>
      <c r="D121" s="3"/>
      <c r="E121" s="3" t="s">
        <v>522</v>
      </c>
      <c r="F121" s="3"/>
      <c r="G121" s="4" t="s">
        <v>68</v>
      </c>
      <c r="H121" s="4" t="s">
        <v>68</v>
      </c>
      <c r="I121" s="2"/>
      <c r="J121" s="3"/>
      <c r="K121" s="3"/>
      <c r="L121" s="3" t="s">
        <v>523</v>
      </c>
      <c r="M121" s="4" t="s">
        <v>34</v>
      </c>
      <c r="N121" s="4" t="s">
        <v>35</v>
      </c>
    </row>
    <row r="122" spans="1:14" ht="48" x14ac:dyDescent="0.25">
      <c r="A122" s="2" t="s">
        <v>524</v>
      </c>
      <c r="B122" s="3" t="s">
        <v>525</v>
      </c>
      <c r="C122" s="2" t="s">
        <v>478</v>
      </c>
      <c r="D122" s="3" t="s">
        <v>477</v>
      </c>
      <c r="E122" s="3" t="s">
        <v>522</v>
      </c>
      <c r="F122" s="3" t="s">
        <v>471</v>
      </c>
      <c r="G122" s="4" t="s">
        <v>20</v>
      </c>
      <c r="H122" s="4" t="s">
        <v>20</v>
      </c>
      <c r="I122" s="2"/>
      <c r="J122" s="3"/>
      <c r="K122" s="3"/>
      <c r="L122" s="3" t="s">
        <v>526</v>
      </c>
      <c r="M122" s="4" t="s">
        <v>34</v>
      </c>
      <c r="N122" s="4" t="s">
        <v>35</v>
      </c>
    </row>
    <row r="123" spans="1:14" ht="24" x14ac:dyDescent="0.25">
      <c r="A123" s="2" t="s">
        <v>527</v>
      </c>
      <c r="B123" s="3" t="s">
        <v>528</v>
      </c>
      <c r="C123" s="2" t="s">
        <v>529</v>
      </c>
      <c r="D123" s="3" t="s">
        <v>530</v>
      </c>
      <c r="E123" s="3" t="s">
        <v>531</v>
      </c>
      <c r="F123" s="3" t="s">
        <v>224</v>
      </c>
      <c r="G123" s="4" t="s">
        <v>20</v>
      </c>
      <c r="H123" s="4" t="s">
        <v>32</v>
      </c>
      <c r="I123" s="2" t="s">
        <v>532</v>
      </c>
      <c r="J123" s="3" t="s">
        <v>533</v>
      </c>
      <c r="K123" s="3" t="s">
        <v>224</v>
      </c>
      <c r="L123" s="3" t="s">
        <v>534</v>
      </c>
      <c r="M123" s="4" t="s">
        <v>34</v>
      </c>
      <c r="N123" s="4" t="s">
        <v>26</v>
      </c>
    </row>
    <row r="124" spans="1:14" ht="36" x14ac:dyDescent="0.25">
      <c r="A124" s="2" t="s">
        <v>535</v>
      </c>
      <c r="B124" s="3" t="s">
        <v>536</v>
      </c>
      <c r="C124" s="2" t="s">
        <v>529</v>
      </c>
      <c r="D124" s="3" t="s">
        <v>530</v>
      </c>
      <c r="E124" s="3" t="s">
        <v>531</v>
      </c>
      <c r="F124" s="3" t="s">
        <v>224</v>
      </c>
      <c r="G124" s="4" t="s">
        <v>20</v>
      </c>
      <c r="H124" s="4" t="s">
        <v>32</v>
      </c>
      <c r="I124" s="2" t="s">
        <v>532</v>
      </c>
      <c r="J124" s="3" t="s">
        <v>533</v>
      </c>
      <c r="K124" s="3" t="s">
        <v>224</v>
      </c>
      <c r="L124" s="3" t="s">
        <v>537</v>
      </c>
      <c r="M124" s="4" t="s">
        <v>25</v>
      </c>
      <c r="N124" s="4" t="s">
        <v>26</v>
      </c>
    </row>
    <row r="125" spans="1:14" ht="24" x14ac:dyDescent="0.25">
      <c r="A125" s="2" t="s">
        <v>538</v>
      </c>
      <c r="B125" s="3" t="s">
        <v>539</v>
      </c>
      <c r="C125" s="2" t="s">
        <v>540</v>
      </c>
      <c r="D125" s="3" t="s">
        <v>541</v>
      </c>
      <c r="E125" s="3" t="s">
        <v>542</v>
      </c>
      <c r="F125" s="3" t="s">
        <v>224</v>
      </c>
      <c r="G125" s="4" t="s">
        <v>32</v>
      </c>
      <c r="H125" s="4" t="s">
        <v>32</v>
      </c>
      <c r="I125" s="2" t="s">
        <v>540</v>
      </c>
      <c r="J125" s="3" t="s">
        <v>543</v>
      </c>
      <c r="K125" s="3" t="s">
        <v>224</v>
      </c>
      <c r="L125" s="3" t="s">
        <v>544</v>
      </c>
      <c r="M125" s="4" t="s">
        <v>34</v>
      </c>
      <c r="N125" s="4" t="s">
        <v>63</v>
      </c>
    </row>
    <row r="126" spans="1:14" ht="24" x14ac:dyDescent="0.25">
      <c r="A126" s="2" t="s">
        <v>545</v>
      </c>
      <c r="B126" s="3" t="s">
        <v>546</v>
      </c>
      <c r="C126" s="2" t="s">
        <v>355</v>
      </c>
      <c r="D126" s="3" t="s">
        <v>356</v>
      </c>
      <c r="E126" s="3" t="s">
        <v>542</v>
      </c>
      <c r="F126" s="3" t="s">
        <v>41</v>
      </c>
      <c r="G126" s="4" t="s">
        <v>20</v>
      </c>
      <c r="H126" s="4" t="s">
        <v>20</v>
      </c>
      <c r="I126" s="2" t="s">
        <v>547</v>
      </c>
      <c r="J126" s="3" t="s">
        <v>548</v>
      </c>
      <c r="K126" s="3" t="s">
        <v>224</v>
      </c>
      <c r="L126" s="3" t="s">
        <v>549</v>
      </c>
      <c r="M126" s="4" t="s">
        <v>25</v>
      </c>
      <c r="N126" s="4" t="s">
        <v>26</v>
      </c>
    </row>
    <row r="127" spans="1:14" ht="36" x14ac:dyDescent="0.25">
      <c r="A127" s="2" t="s">
        <v>550</v>
      </c>
      <c r="B127" s="3" t="s">
        <v>551</v>
      </c>
      <c r="C127" s="2" t="s">
        <v>552</v>
      </c>
      <c r="D127" s="3" t="s">
        <v>553</v>
      </c>
      <c r="E127" s="3" t="s">
        <v>554</v>
      </c>
      <c r="F127" s="3" t="s">
        <v>224</v>
      </c>
      <c r="G127" s="4" t="s">
        <v>20</v>
      </c>
      <c r="H127" s="4" t="s">
        <v>32</v>
      </c>
      <c r="I127" s="2" t="s">
        <v>555</v>
      </c>
      <c r="J127" s="3" t="s">
        <v>556</v>
      </c>
      <c r="K127" s="3" t="s">
        <v>224</v>
      </c>
      <c r="L127" s="3" t="s">
        <v>557</v>
      </c>
      <c r="M127" s="4" t="s">
        <v>25</v>
      </c>
      <c r="N127" s="4" t="s">
        <v>26</v>
      </c>
    </row>
    <row r="128" spans="1:14" ht="36" x14ac:dyDescent="0.25">
      <c r="A128" s="2" t="s">
        <v>558</v>
      </c>
      <c r="B128" s="3" t="s">
        <v>559</v>
      </c>
      <c r="C128" s="2" t="s">
        <v>560</v>
      </c>
      <c r="D128" s="3" t="s">
        <v>561</v>
      </c>
      <c r="E128" s="3" t="s">
        <v>554</v>
      </c>
      <c r="F128" s="3" t="s">
        <v>41</v>
      </c>
      <c r="G128" s="4" t="s">
        <v>20</v>
      </c>
      <c r="H128" s="4" t="s">
        <v>20</v>
      </c>
      <c r="I128" s="2" t="s">
        <v>555</v>
      </c>
      <c r="J128" s="3" t="s">
        <v>556</v>
      </c>
      <c r="K128" s="3" t="s">
        <v>224</v>
      </c>
      <c r="L128" s="3" t="s">
        <v>562</v>
      </c>
      <c r="M128" s="4" t="s">
        <v>25</v>
      </c>
      <c r="N128" s="4" t="s">
        <v>26</v>
      </c>
    </row>
    <row r="129" spans="1:14" ht="48" x14ac:dyDescent="0.25">
      <c r="A129" s="2" t="s">
        <v>563</v>
      </c>
      <c r="B129" s="3" t="s">
        <v>564</v>
      </c>
      <c r="C129" s="2" t="s">
        <v>565</v>
      </c>
      <c r="D129" s="3" t="s">
        <v>566</v>
      </c>
      <c r="E129" s="3" t="s">
        <v>567</v>
      </c>
      <c r="F129" s="3" t="s">
        <v>224</v>
      </c>
      <c r="G129" s="4" t="s">
        <v>20</v>
      </c>
      <c r="H129" s="4" t="s">
        <v>32</v>
      </c>
      <c r="I129" s="2" t="s">
        <v>555</v>
      </c>
      <c r="J129" s="3" t="s">
        <v>556</v>
      </c>
      <c r="K129" s="3" t="s">
        <v>224</v>
      </c>
      <c r="L129" s="3" t="s">
        <v>568</v>
      </c>
      <c r="M129" s="4" t="s">
        <v>25</v>
      </c>
      <c r="N129" s="4" t="s">
        <v>26</v>
      </c>
    </row>
    <row r="130" spans="1:14" ht="36" x14ac:dyDescent="0.25">
      <c r="A130" s="2" t="s">
        <v>569</v>
      </c>
      <c r="B130" s="3" t="s">
        <v>570</v>
      </c>
      <c r="C130" s="2" t="s">
        <v>555</v>
      </c>
      <c r="D130" s="3" t="s">
        <v>571</v>
      </c>
      <c r="E130" s="3" t="s">
        <v>567</v>
      </c>
      <c r="F130" s="3" t="s">
        <v>224</v>
      </c>
      <c r="G130" s="4" t="s">
        <v>32</v>
      </c>
      <c r="H130" s="4" t="s">
        <v>32</v>
      </c>
      <c r="I130" s="2" t="s">
        <v>555</v>
      </c>
      <c r="J130" s="3" t="s">
        <v>556</v>
      </c>
      <c r="K130" s="3" t="s">
        <v>224</v>
      </c>
      <c r="L130" s="3" t="s">
        <v>572</v>
      </c>
      <c r="M130" s="4" t="s">
        <v>25</v>
      </c>
      <c r="N130" s="4" t="s">
        <v>63</v>
      </c>
    </row>
    <row r="131" spans="1:14" ht="48" x14ac:dyDescent="0.25">
      <c r="A131" s="2" t="s">
        <v>573</v>
      </c>
      <c r="B131" s="3" t="s">
        <v>574</v>
      </c>
      <c r="C131" s="2" t="s">
        <v>575</v>
      </c>
      <c r="D131" s="3" t="s">
        <v>576</v>
      </c>
      <c r="E131" s="3" t="s">
        <v>567</v>
      </c>
      <c r="F131" s="3" t="s">
        <v>274</v>
      </c>
      <c r="G131" s="4" t="s">
        <v>20</v>
      </c>
      <c r="H131" s="4" t="s">
        <v>20</v>
      </c>
      <c r="I131" s="2" t="s">
        <v>555</v>
      </c>
      <c r="J131" s="3" t="s">
        <v>556</v>
      </c>
      <c r="K131" s="3" t="s">
        <v>224</v>
      </c>
      <c r="L131" s="3" t="s">
        <v>577</v>
      </c>
      <c r="M131" s="4" t="s">
        <v>25</v>
      </c>
      <c r="N131" s="4" t="s">
        <v>26</v>
      </c>
    </row>
    <row r="132" spans="1:14" ht="48" x14ac:dyDescent="0.25">
      <c r="A132" s="2" t="s">
        <v>578</v>
      </c>
      <c r="B132" s="3" t="s">
        <v>579</v>
      </c>
      <c r="C132" s="2" t="s">
        <v>540</v>
      </c>
      <c r="D132" s="3" t="s">
        <v>541</v>
      </c>
      <c r="E132" s="3" t="s">
        <v>567</v>
      </c>
      <c r="F132" s="3" t="s">
        <v>224</v>
      </c>
      <c r="G132" s="4" t="s">
        <v>20</v>
      </c>
      <c r="H132" s="4" t="s">
        <v>20</v>
      </c>
      <c r="I132" s="2" t="s">
        <v>555</v>
      </c>
      <c r="J132" s="3" t="s">
        <v>556</v>
      </c>
      <c r="K132" s="3" t="s">
        <v>224</v>
      </c>
      <c r="L132" s="3" t="s">
        <v>580</v>
      </c>
      <c r="M132" s="4" t="s">
        <v>25</v>
      </c>
      <c r="N132" s="4" t="s">
        <v>26</v>
      </c>
    </row>
    <row r="133" spans="1:14" ht="36" x14ac:dyDescent="0.25">
      <c r="A133" s="2" t="s">
        <v>581</v>
      </c>
      <c r="B133" s="3" t="s">
        <v>582</v>
      </c>
      <c r="C133" s="2" t="s">
        <v>555</v>
      </c>
      <c r="D133" s="3" t="s">
        <v>571</v>
      </c>
      <c r="E133" s="3" t="s">
        <v>567</v>
      </c>
      <c r="F133" s="3" t="s">
        <v>224</v>
      </c>
      <c r="G133" s="4" t="s">
        <v>32</v>
      </c>
      <c r="H133" s="4" t="s">
        <v>32</v>
      </c>
      <c r="I133" s="2" t="s">
        <v>555</v>
      </c>
      <c r="J133" s="3" t="s">
        <v>556</v>
      </c>
      <c r="K133" s="3" t="s">
        <v>224</v>
      </c>
      <c r="L133" s="3" t="s">
        <v>572</v>
      </c>
      <c r="M133" s="4" t="s">
        <v>25</v>
      </c>
      <c r="N133" s="4" t="s">
        <v>63</v>
      </c>
    </row>
    <row r="134" spans="1:14" ht="36" x14ac:dyDescent="0.25">
      <c r="A134" s="2" t="s">
        <v>583</v>
      </c>
      <c r="B134" s="3" t="s">
        <v>584</v>
      </c>
      <c r="C134" s="2" t="s">
        <v>555</v>
      </c>
      <c r="D134" s="3" t="s">
        <v>571</v>
      </c>
      <c r="E134" s="3" t="s">
        <v>567</v>
      </c>
      <c r="F134" s="3" t="s">
        <v>224</v>
      </c>
      <c r="G134" s="4" t="s">
        <v>32</v>
      </c>
      <c r="H134" s="4" t="s">
        <v>32</v>
      </c>
      <c r="I134" s="2" t="s">
        <v>555</v>
      </c>
      <c r="J134" s="3" t="s">
        <v>556</v>
      </c>
      <c r="K134" s="3" t="s">
        <v>224</v>
      </c>
      <c r="L134" s="3" t="s">
        <v>572</v>
      </c>
      <c r="M134" s="4" t="s">
        <v>25</v>
      </c>
      <c r="N134" s="4" t="s">
        <v>63</v>
      </c>
    </row>
    <row r="135" spans="1:14" ht="36" x14ac:dyDescent="0.25">
      <c r="A135" s="2" t="s">
        <v>585</v>
      </c>
      <c r="B135" s="3" t="s">
        <v>586</v>
      </c>
      <c r="C135" s="2" t="s">
        <v>555</v>
      </c>
      <c r="D135" s="3" t="s">
        <v>571</v>
      </c>
      <c r="E135" s="3" t="s">
        <v>567</v>
      </c>
      <c r="F135" s="3" t="s">
        <v>224</v>
      </c>
      <c r="G135" s="4" t="s">
        <v>32</v>
      </c>
      <c r="H135" s="4" t="s">
        <v>32</v>
      </c>
      <c r="I135" s="2" t="s">
        <v>555</v>
      </c>
      <c r="J135" s="3" t="s">
        <v>556</v>
      </c>
      <c r="K135" s="3" t="s">
        <v>224</v>
      </c>
      <c r="L135" s="3" t="s">
        <v>572</v>
      </c>
      <c r="M135" s="4" t="s">
        <v>25</v>
      </c>
      <c r="N135" s="4" t="s">
        <v>63</v>
      </c>
    </row>
    <row r="136" spans="1:14" ht="48" x14ac:dyDescent="0.25">
      <c r="A136" s="2" t="s">
        <v>587</v>
      </c>
      <c r="B136" s="3" t="s">
        <v>588</v>
      </c>
      <c r="C136" s="2" t="s">
        <v>555</v>
      </c>
      <c r="D136" s="3" t="s">
        <v>571</v>
      </c>
      <c r="E136" s="3" t="s">
        <v>567</v>
      </c>
      <c r="F136" s="3" t="s">
        <v>224</v>
      </c>
      <c r="G136" s="4" t="s">
        <v>32</v>
      </c>
      <c r="H136" s="4" t="s">
        <v>32</v>
      </c>
      <c r="I136" s="2" t="s">
        <v>555</v>
      </c>
      <c r="J136" s="3" t="s">
        <v>556</v>
      </c>
      <c r="K136" s="3" t="s">
        <v>224</v>
      </c>
      <c r="L136" s="3" t="s">
        <v>589</v>
      </c>
      <c r="M136" s="4" t="s">
        <v>25</v>
      </c>
      <c r="N136" s="4" t="s">
        <v>63</v>
      </c>
    </row>
    <row r="137" spans="1:14" ht="36" x14ac:dyDescent="0.25">
      <c r="A137" s="2" t="s">
        <v>590</v>
      </c>
      <c r="B137" s="3" t="s">
        <v>591</v>
      </c>
      <c r="C137" s="2" t="s">
        <v>592</v>
      </c>
      <c r="D137" s="3" t="s">
        <v>593</v>
      </c>
      <c r="E137" s="3" t="s">
        <v>567</v>
      </c>
      <c r="F137" s="3" t="s">
        <v>594</v>
      </c>
      <c r="G137" s="4" t="s">
        <v>20</v>
      </c>
      <c r="H137" s="4" t="s">
        <v>20</v>
      </c>
      <c r="I137" s="2" t="s">
        <v>555</v>
      </c>
      <c r="J137" s="3" t="s">
        <v>556</v>
      </c>
      <c r="K137" s="3" t="s">
        <v>224</v>
      </c>
      <c r="L137" s="3" t="s">
        <v>595</v>
      </c>
      <c r="M137" s="4" t="s">
        <v>25</v>
      </c>
      <c r="N137" s="4" t="s">
        <v>26</v>
      </c>
    </row>
    <row r="138" spans="1:14" ht="36" x14ac:dyDescent="0.25">
      <c r="A138" s="2" t="s">
        <v>596</v>
      </c>
      <c r="B138" s="3" t="s">
        <v>597</v>
      </c>
      <c r="C138" s="2" t="s">
        <v>529</v>
      </c>
      <c r="D138" s="3" t="s">
        <v>530</v>
      </c>
      <c r="E138" s="3" t="s">
        <v>567</v>
      </c>
      <c r="F138" s="3" t="s">
        <v>224</v>
      </c>
      <c r="G138" s="4" t="s">
        <v>20</v>
      </c>
      <c r="H138" s="4" t="s">
        <v>32</v>
      </c>
      <c r="I138" s="2" t="s">
        <v>555</v>
      </c>
      <c r="J138" s="3" t="s">
        <v>556</v>
      </c>
      <c r="K138" s="3" t="s">
        <v>224</v>
      </c>
      <c r="L138" s="3" t="s">
        <v>598</v>
      </c>
      <c r="M138" s="4" t="s">
        <v>25</v>
      </c>
      <c r="N138" s="4" t="s">
        <v>26</v>
      </c>
    </row>
    <row r="139" spans="1:14" ht="36" x14ac:dyDescent="0.25">
      <c r="A139" s="2" t="s">
        <v>599</v>
      </c>
      <c r="B139" s="3" t="s">
        <v>600</v>
      </c>
      <c r="C139" s="2" t="s">
        <v>555</v>
      </c>
      <c r="D139" s="3" t="s">
        <v>571</v>
      </c>
      <c r="E139" s="3" t="s">
        <v>567</v>
      </c>
      <c r="F139" s="3" t="s">
        <v>224</v>
      </c>
      <c r="G139" s="4" t="s">
        <v>32</v>
      </c>
      <c r="H139" s="4" t="s">
        <v>32</v>
      </c>
      <c r="I139" s="2" t="s">
        <v>555</v>
      </c>
      <c r="J139" s="3" t="s">
        <v>556</v>
      </c>
      <c r="K139" s="3" t="s">
        <v>224</v>
      </c>
      <c r="L139" s="3" t="s">
        <v>572</v>
      </c>
      <c r="M139" s="4" t="s">
        <v>25</v>
      </c>
      <c r="N139" s="4" t="s">
        <v>63</v>
      </c>
    </row>
    <row r="140" spans="1:14" ht="36" x14ac:dyDescent="0.25">
      <c r="A140" s="2" t="s">
        <v>601</v>
      </c>
      <c r="B140" s="3" t="s">
        <v>602</v>
      </c>
      <c r="C140" s="2" t="s">
        <v>560</v>
      </c>
      <c r="D140" s="3" t="s">
        <v>561</v>
      </c>
      <c r="E140" s="3" t="s">
        <v>567</v>
      </c>
      <c r="F140" s="3" t="s">
        <v>41</v>
      </c>
      <c r="G140" s="4" t="s">
        <v>20</v>
      </c>
      <c r="H140" s="4" t="s">
        <v>20</v>
      </c>
      <c r="I140" s="2" t="s">
        <v>555</v>
      </c>
      <c r="J140" s="3" t="s">
        <v>556</v>
      </c>
      <c r="K140" s="3" t="s">
        <v>224</v>
      </c>
      <c r="L140" s="3" t="s">
        <v>562</v>
      </c>
      <c r="M140" s="4" t="s">
        <v>25</v>
      </c>
      <c r="N140" s="4" t="s">
        <v>26</v>
      </c>
    </row>
    <row r="141" spans="1:14" ht="36" x14ac:dyDescent="0.25">
      <c r="A141" s="2" t="s">
        <v>603</v>
      </c>
      <c r="B141" s="3" t="s">
        <v>604</v>
      </c>
      <c r="C141" s="2" t="s">
        <v>560</v>
      </c>
      <c r="D141" s="3" t="s">
        <v>561</v>
      </c>
      <c r="E141" s="3" t="s">
        <v>567</v>
      </c>
      <c r="F141" s="3" t="s">
        <v>41</v>
      </c>
      <c r="G141" s="4" t="s">
        <v>20</v>
      </c>
      <c r="H141" s="4" t="s">
        <v>20</v>
      </c>
      <c r="I141" s="2" t="s">
        <v>555</v>
      </c>
      <c r="J141" s="3" t="s">
        <v>556</v>
      </c>
      <c r="K141" s="3" t="s">
        <v>224</v>
      </c>
      <c r="L141" s="3" t="s">
        <v>562</v>
      </c>
      <c r="M141" s="4" t="s">
        <v>25</v>
      </c>
      <c r="N141" s="4" t="s">
        <v>26</v>
      </c>
    </row>
    <row r="142" spans="1:14" ht="36" x14ac:dyDescent="0.25">
      <c r="A142" s="2" t="s">
        <v>605</v>
      </c>
      <c r="B142" s="3" t="s">
        <v>606</v>
      </c>
      <c r="C142" s="2" t="s">
        <v>532</v>
      </c>
      <c r="D142" s="3" t="s">
        <v>607</v>
      </c>
      <c r="E142" s="3" t="s">
        <v>567</v>
      </c>
      <c r="F142" s="3" t="s">
        <v>224</v>
      </c>
      <c r="G142" s="4" t="s">
        <v>20</v>
      </c>
      <c r="H142" s="4" t="s">
        <v>20</v>
      </c>
      <c r="I142" s="2" t="s">
        <v>222</v>
      </c>
      <c r="J142" s="3" t="s">
        <v>608</v>
      </c>
      <c r="K142" s="3" t="s">
        <v>224</v>
      </c>
      <c r="L142" s="3" t="s">
        <v>609</v>
      </c>
      <c r="M142" s="4" t="s">
        <v>25</v>
      </c>
      <c r="N142" s="4" t="s">
        <v>26</v>
      </c>
    </row>
    <row r="143" spans="1:14" ht="48" x14ac:dyDescent="0.25">
      <c r="A143" s="2" t="s">
        <v>610</v>
      </c>
      <c r="B143" s="3" t="s">
        <v>504</v>
      </c>
      <c r="C143" s="2" t="s">
        <v>505</v>
      </c>
      <c r="D143" s="3" t="s">
        <v>506</v>
      </c>
      <c r="E143" s="3" t="s">
        <v>507</v>
      </c>
      <c r="F143" s="3" t="s">
        <v>499</v>
      </c>
      <c r="G143" s="4" t="s">
        <v>32</v>
      </c>
      <c r="H143" s="4" t="s">
        <v>32</v>
      </c>
      <c r="I143" s="2" t="s">
        <v>505</v>
      </c>
      <c r="J143" s="3" t="s">
        <v>508</v>
      </c>
      <c r="K143" s="3" t="s">
        <v>499</v>
      </c>
      <c r="L143" s="3" t="s">
        <v>509</v>
      </c>
      <c r="M143" s="4" t="s">
        <v>25</v>
      </c>
      <c r="N143" s="4" t="s">
        <v>63</v>
      </c>
    </row>
    <row r="144" spans="1:14" ht="36" x14ac:dyDescent="0.25">
      <c r="A144" s="2" t="s">
        <v>611</v>
      </c>
      <c r="B144" s="3" t="s">
        <v>612</v>
      </c>
      <c r="C144" s="2" t="s">
        <v>565</v>
      </c>
      <c r="D144" s="3" t="s">
        <v>566</v>
      </c>
      <c r="E144" s="3" t="s">
        <v>567</v>
      </c>
      <c r="F144" s="3" t="s">
        <v>224</v>
      </c>
      <c r="G144" s="4" t="s">
        <v>20</v>
      </c>
      <c r="H144" s="4" t="s">
        <v>32</v>
      </c>
      <c r="I144" s="2" t="s">
        <v>555</v>
      </c>
      <c r="J144" s="3" t="s">
        <v>556</v>
      </c>
      <c r="K144" s="3" t="s">
        <v>224</v>
      </c>
      <c r="L144" s="3" t="s">
        <v>613</v>
      </c>
      <c r="M144" s="4" t="s">
        <v>25</v>
      </c>
      <c r="N144" s="4" t="s">
        <v>26</v>
      </c>
    </row>
    <row r="145" spans="1:14" ht="48" x14ac:dyDescent="0.25">
      <c r="A145" s="2" t="s">
        <v>614</v>
      </c>
      <c r="B145" s="3" t="s">
        <v>615</v>
      </c>
      <c r="C145" s="2" t="s">
        <v>505</v>
      </c>
      <c r="D145" s="3" t="s">
        <v>506</v>
      </c>
      <c r="E145" s="3" t="s">
        <v>507</v>
      </c>
      <c r="F145" s="3" t="s">
        <v>499</v>
      </c>
      <c r="G145" s="4" t="s">
        <v>32</v>
      </c>
      <c r="H145" s="4" t="s">
        <v>32</v>
      </c>
      <c r="I145" s="2" t="s">
        <v>505</v>
      </c>
      <c r="J145" s="3" t="s">
        <v>508</v>
      </c>
      <c r="K145" s="3" t="s">
        <v>499</v>
      </c>
      <c r="L145" s="3" t="s">
        <v>509</v>
      </c>
      <c r="M145" s="4" t="s">
        <v>25</v>
      </c>
      <c r="N145" s="4" t="s">
        <v>63</v>
      </c>
    </row>
    <row r="146" spans="1:14" ht="36" x14ac:dyDescent="0.25">
      <c r="A146" s="2" t="s">
        <v>616</v>
      </c>
      <c r="B146" s="3" t="s">
        <v>617</v>
      </c>
      <c r="C146" s="2" t="s">
        <v>529</v>
      </c>
      <c r="D146" s="3" t="s">
        <v>530</v>
      </c>
      <c r="E146" s="3" t="s">
        <v>567</v>
      </c>
      <c r="F146" s="3" t="s">
        <v>224</v>
      </c>
      <c r="G146" s="4" t="s">
        <v>20</v>
      </c>
      <c r="H146" s="4" t="s">
        <v>32</v>
      </c>
      <c r="I146" s="2" t="s">
        <v>555</v>
      </c>
      <c r="J146" s="3" t="s">
        <v>556</v>
      </c>
      <c r="K146" s="3" t="s">
        <v>224</v>
      </c>
      <c r="L146" s="3" t="s">
        <v>598</v>
      </c>
      <c r="M146" s="4" t="s">
        <v>25</v>
      </c>
      <c r="N146" s="4" t="s">
        <v>26</v>
      </c>
    </row>
    <row r="147" spans="1:14" ht="36" x14ac:dyDescent="0.25">
      <c r="A147" s="2" t="s">
        <v>618</v>
      </c>
      <c r="B147" s="3" t="s">
        <v>619</v>
      </c>
      <c r="C147" s="2" t="s">
        <v>620</v>
      </c>
      <c r="D147" s="3" t="s">
        <v>621</v>
      </c>
      <c r="E147" s="3" t="s">
        <v>567</v>
      </c>
      <c r="F147" s="3" t="s">
        <v>224</v>
      </c>
      <c r="G147" s="4" t="s">
        <v>20</v>
      </c>
      <c r="H147" s="4" t="s">
        <v>32</v>
      </c>
      <c r="I147" s="2" t="s">
        <v>555</v>
      </c>
      <c r="J147" s="3" t="s">
        <v>556</v>
      </c>
      <c r="K147" s="3" t="s">
        <v>224</v>
      </c>
      <c r="L147" s="3" t="s">
        <v>622</v>
      </c>
      <c r="M147" s="4" t="s">
        <v>25</v>
      </c>
      <c r="N147" s="4" t="s">
        <v>26</v>
      </c>
    </row>
    <row r="148" spans="1:14" ht="48" x14ac:dyDescent="0.25">
      <c r="A148" s="2" t="s">
        <v>623</v>
      </c>
      <c r="B148" s="3" t="s">
        <v>615</v>
      </c>
      <c r="C148" s="2" t="s">
        <v>505</v>
      </c>
      <c r="D148" s="3" t="s">
        <v>506</v>
      </c>
      <c r="E148" s="3" t="s">
        <v>507</v>
      </c>
      <c r="F148" s="3" t="s">
        <v>499</v>
      </c>
      <c r="G148" s="4" t="s">
        <v>32</v>
      </c>
      <c r="H148" s="4" t="s">
        <v>32</v>
      </c>
      <c r="I148" s="2" t="s">
        <v>505</v>
      </c>
      <c r="J148" s="3" t="s">
        <v>508</v>
      </c>
      <c r="K148" s="3" t="s">
        <v>499</v>
      </c>
      <c r="L148" s="3" t="s">
        <v>509</v>
      </c>
      <c r="M148" s="4" t="s">
        <v>25</v>
      </c>
      <c r="N148" s="4" t="s">
        <v>63</v>
      </c>
    </row>
    <row r="149" spans="1:14" ht="60" x14ac:dyDescent="0.25">
      <c r="A149" s="2" t="s">
        <v>624</v>
      </c>
      <c r="B149" s="3" t="s">
        <v>625</v>
      </c>
      <c r="C149" s="2" t="s">
        <v>626</v>
      </c>
      <c r="D149" s="3" t="s">
        <v>627</v>
      </c>
      <c r="E149" s="3" t="s">
        <v>628</v>
      </c>
      <c r="F149" s="3" t="s">
        <v>41</v>
      </c>
      <c r="G149" s="4" t="s">
        <v>20</v>
      </c>
      <c r="H149" s="4" t="s">
        <v>20</v>
      </c>
      <c r="I149" s="2" t="s">
        <v>629</v>
      </c>
      <c r="J149" s="3" t="s">
        <v>630</v>
      </c>
      <c r="K149" s="3" t="s">
        <v>631</v>
      </c>
      <c r="L149" s="3" t="s">
        <v>632</v>
      </c>
      <c r="M149" s="4" t="s">
        <v>25</v>
      </c>
      <c r="N149" s="4" t="s">
        <v>26</v>
      </c>
    </row>
    <row r="150" spans="1:14" ht="60" x14ac:dyDescent="0.25">
      <c r="A150" s="2" t="s">
        <v>633</v>
      </c>
      <c r="B150" s="3" t="s">
        <v>634</v>
      </c>
      <c r="C150" s="2" t="s">
        <v>626</v>
      </c>
      <c r="D150" s="3" t="s">
        <v>627</v>
      </c>
      <c r="E150" s="3" t="s">
        <v>628</v>
      </c>
      <c r="F150" s="3" t="s">
        <v>41</v>
      </c>
      <c r="G150" s="4" t="s">
        <v>20</v>
      </c>
      <c r="H150" s="4" t="s">
        <v>20</v>
      </c>
      <c r="I150" s="2" t="s">
        <v>629</v>
      </c>
      <c r="J150" s="3" t="s">
        <v>630</v>
      </c>
      <c r="K150" s="3" t="s">
        <v>631</v>
      </c>
      <c r="L150" s="3" t="s">
        <v>632</v>
      </c>
      <c r="M150" s="4" t="s">
        <v>25</v>
      </c>
      <c r="N150" s="4" t="s">
        <v>26</v>
      </c>
    </row>
    <row r="151" spans="1:14" ht="60" x14ac:dyDescent="0.25">
      <c r="A151" s="2" t="s">
        <v>635</v>
      </c>
      <c r="B151" s="3" t="s">
        <v>636</v>
      </c>
      <c r="C151" s="2" t="s">
        <v>626</v>
      </c>
      <c r="D151" s="3" t="s">
        <v>627</v>
      </c>
      <c r="E151" s="3" t="s">
        <v>628</v>
      </c>
      <c r="F151" s="3" t="s">
        <v>41</v>
      </c>
      <c r="G151" s="4" t="s">
        <v>20</v>
      </c>
      <c r="H151" s="4" t="s">
        <v>20</v>
      </c>
      <c r="I151" s="2" t="s">
        <v>629</v>
      </c>
      <c r="J151" s="3" t="s">
        <v>630</v>
      </c>
      <c r="K151" s="3" t="s">
        <v>631</v>
      </c>
      <c r="L151" s="3" t="s">
        <v>632</v>
      </c>
      <c r="M151" s="4" t="s">
        <v>25</v>
      </c>
      <c r="N151" s="4" t="s">
        <v>26</v>
      </c>
    </row>
    <row r="152" spans="1:14" ht="60" x14ac:dyDescent="0.25">
      <c r="A152" s="2" t="s">
        <v>637</v>
      </c>
      <c r="B152" s="3" t="s">
        <v>638</v>
      </c>
      <c r="C152" s="2" t="s">
        <v>626</v>
      </c>
      <c r="D152" s="3" t="s">
        <v>627</v>
      </c>
      <c r="E152" s="3" t="s">
        <v>639</v>
      </c>
      <c r="F152" s="3" t="s">
        <v>41</v>
      </c>
      <c r="G152" s="4" t="s">
        <v>20</v>
      </c>
      <c r="H152" s="4" t="s">
        <v>20</v>
      </c>
      <c r="I152" s="2" t="s">
        <v>629</v>
      </c>
      <c r="J152" s="3" t="s">
        <v>630</v>
      </c>
      <c r="K152" s="3" t="s">
        <v>631</v>
      </c>
      <c r="L152" s="3" t="s">
        <v>640</v>
      </c>
      <c r="M152" s="4" t="s">
        <v>34</v>
      </c>
      <c r="N152" s="4" t="s">
        <v>26</v>
      </c>
    </row>
    <row r="153" spans="1:14" ht="48" x14ac:dyDescent="0.25">
      <c r="A153" s="2" t="s">
        <v>641</v>
      </c>
      <c r="B153" s="3" t="s">
        <v>642</v>
      </c>
      <c r="C153" s="2" t="s">
        <v>230</v>
      </c>
      <c r="D153" s="3" t="s">
        <v>231</v>
      </c>
      <c r="E153" s="3" t="s">
        <v>643</v>
      </c>
      <c r="F153" s="3" t="s">
        <v>41</v>
      </c>
      <c r="G153" s="4" t="s">
        <v>20</v>
      </c>
      <c r="H153" s="4" t="s">
        <v>20</v>
      </c>
      <c r="I153" s="2"/>
      <c r="J153" s="3"/>
      <c r="K153" s="3"/>
      <c r="L153" s="3" t="s">
        <v>644</v>
      </c>
      <c r="M153" s="4" t="s">
        <v>25</v>
      </c>
      <c r="N153" s="4" t="s">
        <v>35</v>
      </c>
    </row>
    <row r="154" spans="1:14" ht="36" x14ac:dyDescent="0.25">
      <c r="A154" s="2" t="s">
        <v>645</v>
      </c>
      <c r="B154" s="3" t="s">
        <v>646</v>
      </c>
      <c r="C154" s="2" t="s">
        <v>122</v>
      </c>
      <c r="D154" s="3" t="s">
        <v>647</v>
      </c>
      <c r="E154" s="3" t="s">
        <v>648</v>
      </c>
      <c r="F154" s="3" t="s">
        <v>94</v>
      </c>
      <c r="G154" s="4" t="s">
        <v>20</v>
      </c>
      <c r="H154" s="4" t="s">
        <v>20</v>
      </c>
      <c r="I154" s="2"/>
      <c r="J154" s="3"/>
      <c r="K154" s="3"/>
      <c r="L154" s="3" t="s">
        <v>649</v>
      </c>
      <c r="M154" s="4" t="s">
        <v>34</v>
      </c>
      <c r="N154" s="4" t="s">
        <v>35</v>
      </c>
    </row>
    <row r="155" spans="1:14" ht="24" x14ac:dyDescent="0.25">
      <c r="A155" s="2" t="s">
        <v>650</v>
      </c>
      <c r="B155" s="3" t="s">
        <v>651</v>
      </c>
      <c r="C155" s="2" t="s">
        <v>115</v>
      </c>
      <c r="D155" s="3" t="s">
        <v>116</v>
      </c>
      <c r="E155" s="3" t="s">
        <v>648</v>
      </c>
      <c r="F155" s="3" t="s">
        <v>41</v>
      </c>
      <c r="G155" s="4" t="s">
        <v>20</v>
      </c>
      <c r="H155" s="4" t="s">
        <v>20</v>
      </c>
      <c r="I155" s="2"/>
      <c r="J155" s="3"/>
      <c r="K155" s="3"/>
      <c r="L155" s="3" t="s">
        <v>652</v>
      </c>
      <c r="M155" s="4" t="s">
        <v>25</v>
      </c>
      <c r="N155" s="4" t="s">
        <v>35</v>
      </c>
    </row>
    <row r="156" spans="1:14" ht="24" x14ac:dyDescent="0.25">
      <c r="A156" s="2" t="s">
        <v>653</v>
      </c>
      <c r="B156" s="3" t="s">
        <v>654</v>
      </c>
      <c r="C156" s="2" t="s">
        <v>222</v>
      </c>
      <c r="D156" s="3" t="s">
        <v>223</v>
      </c>
      <c r="E156" s="3" t="s">
        <v>655</v>
      </c>
      <c r="F156" s="3" t="s">
        <v>224</v>
      </c>
      <c r="G156" s="4" t="s">
        <v>20</v>
      </c>
      <c r="H156" s="4" t="s">
        <v>20</v>
      </c>
      <c r="I156" s="2" t="s">
        <v>656</v>
      </c>
      <c r="J156" s="3" t="s">
        <v>657</v>
      </c>
      <c r="K156" s="3" t="s">
        <v>290</v>
      </c>
      <c r="L156" s="3" t="s">
        <v>658</v>
      </c>
      <c r="M156" s="4" t="s">
        <v>34</v>
      </c>
      <c r="N156" s="4" t="s">
        <v>26</v>
      </c>
    </row>
    <row r="157" spans="1:14" ht="24" x14ac:dyDescent="0.25">
      <c r="A157" s="2" t="s">
        <v>659</v>
      </c>
      <c r="B157" s="3" t="s">
        <v>660</v>
      </c>
      <c r="C157" s="2" t="s">
        <v>656</v>
      </c>
      <c r="D157" s="3" t="s">
        <v>661</v>
      </c>
      <c r="E157" s="3" t="s">
        <v>655</v>
      </c>
      <c r="F157" s="3" t="s">
        <v>290</v>
      </c>
      <c r="G157" s="4" t="s">
        <v>20</v>
      </c>
      <c r="H157" s="4" t="s">
        <v>32</v>
      </c>
      <c r="I157" s="2" t="s">
        <v>662</v>
      </c>
      <c r="J157" s="3" t="s">
        <v>663</v>
      </c>
      <c r="K157" s="3" t="s">
        <v>290</v>
      </c>
      <c r="L157" s="3" t="s">
        <v>664</v>
      </c>
      <c r="M157" s="4" t="s">
        <v>25</v>
      </c>
      <c r="N157" s="4" t="s">
        <v>26</v>
      </c>
    </row>
    <row r="158" spans="1:14" ht="24" x14ac:dyDescent="0.25">
      <c r="A158" s="2" t="s">
        <v>665</v>
      </c>
      <c r="B158" s="3" t="s">
        <v>666</v>
      </c>
      <c r="C158" s="2" t="s">
        <v>230</v>
      </c>
      <c r="D158" s="3" t="s">
        <v>231</v>
      </c>
      <c r="E158" s="3" t="s">
        <v>655</v>
      </c>
      <c r="F158" s="3" t="s">
        <v>41</v>
      </c>
      <c r="G158" s="4" t="s">
        <v>20</v>
      </c>
      <c r="H158" s="4" t="s">
        <v>20</v>
      </c>
      <c r="I158" s="2" t="s">
        <v>667</v>
      </c>
      <c r="J158" s="3" t="s">
        <v>668</v>
      </c>
      <c r="K158" s="3" t="s">
        <v>290</v>
      </c>
      <c r="L158" s="3" t="s">
        <v>669</v>
      </c>
      <c r="M158" s="4" t="s">
        <v>34</v>
      </c>
      <c r="N158" s="4" t="s">
        <v>26</v>
      </c>
    </row>
    <row r="159" spans="1:14" ht="48" x14ac:dyDescent="0.25">
      <c r="A159" s="2" t="s">
        <v>670</v>
      </c>
      <c r="B159" s="3" t="s">
        <v>671</v>
      </c>
      <c r="C159" s="2" t="s">
        <v>238</v>
      </c>
      <c r="D159" s="3" t="s">
        <v>239</v>
      </c>
      <c r="E159" s="3" t="s">
        <v>655</v>
      </c>
      <c r="F159" s="3" t="s">
        <v>240</v>
      </c>
      <c r="G159" s="4" t="s">
        <v>32</v>
      </c>
      <c r="H159" s="4" t="s">
        <v>20</v>
      </c>
      <c r="I159" s="2"/>
      <c r="J159" s="3"/>
      <c r="K159" s="3"/>
      <c r="L159" s="3" t="s">
        <v>672</v>
      </c>
      <c r="M159" s="4" t="s">
        <v>234</v>
      </c>
      <c r="N159" s="4" t="s">
        <v>235</v>
      </c>
    </row>
    <row r="160" spans="1:14" ht="72" x14ac:dyDescent="0.25">
      <c r="A160" s="2" t="s">
        <v>673</v>
      </c>
      <c r="B160" s="3" t="s">
        <v>674</v>
      </c>
      <c r="C160" s="2" t="s">
        <v>675</v>
      </c>
      <c r="D160" s="3" t="s">
        <v>676</v>
      </c>
      <c r="E160" s="3" t="s">
        <v>655</v>
      </c>
      <c r="F160" s="3" t="s">
        <v>41</v>
      </c>
      <c r="G160" s="4" t="s">
        <v>20</v>
      </c>
      <c r="H160" s="4" t="s">
        <v>20</v>
      </c>
      <c r="I160" s="2" t="s">
        <v>677</v>
      </c>
      <c r="J160" s="3" t="s">
        <v>678</v>
      </c>
      <c r="K160" s="3" t="s">
        <v>679</v>
      </c>
      <c r="L160" s="3" t="s">
        <v>680</v>
      </c>
      <c r="M160" s="4" t="s">
        <v>34</v>
      </c>
      <c r="N160" s="4" t="s">
        <v>26</v>
      </c>
    </row>
    <row r="161" spans="1:14" ht="48" x14ac:dyDescent="0.25">
      <c r="A161" s="2" t="s">
        <v>681</v>
      </c>
      <c r="B161" s="3" t="s">
        <v>682</v>
      </c>
      <c r="C161" s="2" t="s">
        <v>683</v>
      </c>
      <c r="D161" s="3" t="s">
        <v>684</v>
      </c>
      <c r="E161" s="3" t="s">
        <v>685</v>
      </c>
      <c r="F161" s="3" t="s">
        <v>41</v>
      </c>
      <c r="G161" s="4" t="s">
        <v>20</v>
      </c>
      <c r="H161" s="4" t="s">
        <v>20</v>
      </c>
      <c r="I161" s="2"/>
      <c r="J161" s="3"/>
      <c r="K161" s="3"/>
      <c r="L161" s="3" t="s">
        <v>686</v>
      </c>
      <c r="M161" s="4" t="s">
        <v>34</v>
      </c>
      <c r="N161" s="4" t="s">
        <v>35</v>
      </c>
    </row>
    <row r="162" spans="1:14" ht="36" x14ac:dyDescent="0.25">
      <c r="A162" s="2" t="s">
        <v>687</v>
      </c>
      <c r="B162" s="3" t="s">
        <v>688</v>
      </c>
      <c r="C162" s="2" t="s">
        <v>689</v>
      </c>
      <c r="D162" s="3" t="s">
        <v>690</v>
      </c>
      <c r="E162" s="3" t="s">
        <v>685</v>
      </c>
      <c r="F162" s="3" t="s">
        <v>290</v>
      </c>
      <c r="G162" s="4" t="s">
        <v>20</v>
      </c>
      <c r="H162" s="4" t="s">
        <v>20</v>
      </c>
      <c r="I162" s="2"/>
      <c r="J162" s="3"/>
      <c r="K162" s="3"/>
      <c r="L162" s="3" t="s">
        <v>691</v>
      </c>
      <c r="M162" s="4" t="s">
        <v>34</v>
      </c>
      <c r="N162" s="4" t="s">
        <v>35</v>
      </c>
    </row>
    <row r="163" spans="1:14" ht="36" x14ac:dyDescent="0.25">
      <c r="A163" s="2" t="s">
        <v>692</v>
      </c>
      <c r="B163" s="3" t="s">
        <v>693</v>
      </c>
      <c r="C163" s="2" t="s">
        <v>264</v>
      </c>
      <c r="D163" s="3" t="s">
        <v>265</v>
      </c>
      <c r="E163" s="3" t="s">
        <v>694</v>
      </c>
      <c r="F163" s="3" t="s">
        <v>132</v>
      </c>
      <c r="G163" s="4" t="s">
        <v>20</v>
      </c>
      <c r="H163" s="4" t="s">
        <v>20</v>
      </c>
      <c r="I163" s="2" t="s">
        <v>267</v>
      </c>
      <c r="J163" s="3" t="s">
        <v>268</v>
      </c>
      <c r="K163" s="3" t="s">
        <v>205</v>
      </c>
      <c r="L163" s="3" t="s">
        <v>695</v>
      </c>
      <c r="M163" s="4" t="s">
        <v>34</v>
      </c>
      <c r="N163" s="4" t="s">
        <v>26</v>
      </c>
    </row>
    <row r="164" spans="1:14" ht="36" x14ac:dyDescent="0.25">
      <c r="A164" s="2" t="s">
        <v>696</v>
      </c>
      <c r="B164" s="3" t="s">
        <v>697</v>
      </c>
      <c r="C164" s="2" t="s">
        <v>272</v>
      </c>
      <c r="D164" s="3" t="s">
        <v>273</v>
      </c>
      <c r="E164" s="3" t="s">
        <v>694</v>
      </c>
      <c r="F164" s="3" t="s">
        <v>274</v>
      </c>
      <c r="G164" s="4" t="s">
        <v>20</v>
      </c>
      <c r="H164" s="4" t="s">
        <v>32</v>
      </c>
      <c r="I164" s="2" t="s">
        <v>275</v>
      </c>
      <c r="J164" s="3" t="s">
        <v>276</v>
      </c>
      <c r="K164" s="3" t="s">
        <v>274</v>
      </c>
      <c r="L164" s="3" t="s">
        <v>698</v>
      </c>
      <c r="M164" s="4" t="s">
        <v>34</v>
      </c>
      <c r="N164" s="4" t="s">
        <v>26</v>
      </c>
    </row>
    <row r="165" spans="1:14" ht="48" x14ac:dyDescent="0.25">
      <c r="A165" s="2" t="s">
        <v>699</v>
      </c>
      <c r="B165" s="3" t="s">
        <v>700</v>
      </c>
      <c r="C165" s="2" t="s">
        <v>115</v>
      </c>
      <c r="D165" s="3" t="s">
        <v>116</v>
      </c>
      <c r="E165" s="3" t="s">
        <v>694</v>
      </c>
      <c r="F165" s="3" t="s">
        <v>41</v>
      </c>
      <c r="G165" s="4" t="s">
        <v>20</v>
      </c>
      <c r="H165" s="4" t="s">
        <v>20</v>
      </c>
      <c r="I165" s="2" t="s">
        <v>280</v>
      </c>
      <c r="J165" s="3" t="s">
        <v>281</v>
      </c>
      <c r="K165" s="3" t="s">
        <v>205</v>
      </c>
      <c r="L165" s="3" t="s">
        <v>701</v>
      </c>
      <c r="M165" s="4" t="s">
        <v>25</v>
      </c>
      <c r="N165" s="4" t="s">
        <v>26</v>
      </c>
    </row>
    <row r="166" spans="1:14" ht="48" x14ac:dyDescent="0.25">
      <c r="A166" s="2" t="s">
        <v>702</v>
      </c>
      <c r="B166" s="3" t="s">
        <v>703</v>
      </c>
      <c r="C166" s="2" t="s">
        <v>230</v>
      </c>
      <c r="D166" s="3" t="s">
        <v>231</v>
      </c>
      <c r="E166" s="3" t="s">
        <v>694</v>
      </c>
      <c r="F166" s="3" t="s">
        <v>41</v>
      </c>
      <c r="G166" s="4" t="s">
        <v>32</v>
      </c>
      <c r="H166" s="4" t="s">
        <v>20</v>
      </c>
      <c r="I166" s="2" t="s">
        <v>280</v>
      </c>
      <c r="J166" s="3" t="s">
        <v>281</v>
      </c>
      <c r="K166" s="3" t="s">
        <v>205</v>
      </c>
      <c r="L166" s="3" t="s">
        <v>704</v>
      </c>
      <c r="M166" s="4" t="s">
        <v>25</v>
      </c>
      <c r="N166" s="4" t="s">
        <v>26</v>
      </c>
    </row>
    <row r="167" spans="1:14" ht="48" x14ac:dyDescent="0.25">
      <c r="A167" s="2" t="s">
        <v>705</v>
      </c>
      <c r="B167" s="3" t="s">
        <v>706</v>
      </c>
      <c r="C167" s="2" t="s">
        <v>272</v>
      </c>
      <c r="D167" s="3" t="s">
        <v>273</v>
      </c>
      <c r="E167" s="3" t="s">
        <v>707</v>
      </c>
      <c r="F167" s="3" t="s">
        <v>274</v>
      </c>
      <c r="G167" s="4" t="s">
        <v>20</v>
      </c>
      <c r="H167" s="4" t="s">
        <v>32</v>
      </c>
      <c r="I167" s="2"/>
      <c r="J167" s="3"/>
      <c r="K167" s="3"/>
      <c r="L167" s="3" t="s">
        <v>708</v>
      </c>
      <c r="M167" s="4" t="s">
        <v>34</v>
      </c>
      <c r="N167" s="4" t="s">
        <v>35</v>
      </c>
    </row>
    <row r="168" spans="1:14" ht="24" x14ac:dyDescent="0.25">
      <c r="A168" s="2" t="s">
        <v>709</v>
      </c>
      <c r="B168" s="3" t="s">
        <v>710</v>
      </c>
      <c r="C168" s="2" t="s">
        <v>66</v>
      </c>
      <c r="D168" s="3"/>
      <c r="E168" s="3" t="s">
        <v>711</v>
      </c>
      <c r="F168" s="3"/>
      <c r="G168" s="4" t="s">
        <v>68</v>
      </c>
      <c r="H168" s="4" t="s">
        <v>68</v>
      </c>
      <c r="I168" s="2" t="s">
        <v>712</v>
      </c>
      <c r="J168" s="3" t="s">
        <v>713</v>
      </c>
      <c r="K168" s="3" t="s">
        <v>274</v>
      </c>
      <c r="L168" s="3" t="s">
        <v>714</v>
      </c>
      <c r="M168" s="4" t="s">
        <v>34</v>
      </c>
      <c r="N168" s="4" t="s">
        <v>26</v>
      </c>
    </row>
    <row r="169" spans="1:14" ht="36" x14ac:dyDescent="0.25">
      <c r="A169" s="2" t="s">
        <v>715</v>
      </c>
      <c r="B169" s="3" t="s">
        <v>716</v>
      </c>
      <c r="C169" s="2" t="s">
        <v>366</v>
      </c>
      <c r="D169" s="3" t="s">
        <v>367</v>
      </c>
      <c r="E169" s="3" t="s">
        <v>711</v>
      </c>
      <c r="F169" s="3" t="s">
        <v>41</v>
      </c>
      <c r="G169" s="4" t="s">
        <v>32</v>
      </c>
      <c r="H169" s="4" t="s">
        <v>20</v>
      </c>
      <c r="I169" s="2" t="s">
        <v>366</v>
      </c>
      <c r="J169" s="3" t="s">
        <v>367</v>
      </c>
      <c r="K169" s="3" t="s">
        <v>368</v>
      </c>
      <c r="L169" s="3" t="s">
        <v>717</v>
      </c>
      <c r="M169" s="4" t="s">
        <v>25</v>
      </c>
      <c r="N169" s="4" t="s">
        <v>235</v>
      </c>
    </row>
    <row r="170" spans="1:14" ht="36" x14ac:dyDescent="0.25">
      <c r="A170" s="2" t="s">
        <v>718</v>
      </c>
      <c r="B170" s="3" t="s">
        <v>719</v>
      </c>
      <c r="C170" s="2" t="s">
        <v>230</v>
      </c>
      <c r="D170" s="3" t="s">
        <v>231</v>
      </c>
      <c r="E170" s="3" t="s">
        <v>720</v>
      </c>
      <c r="F170" s="3" t="s">
        <v>41</v>
      </c>
      <c r="G170" s="4" t="s">
        <v>20</v>
      </c>
      <c r="H170" s="4" t="s">
        <v>20</v>
      </c>
      <c r="I170" s="2" t="s">
        <v>721</v>
      </c>
      <c r="J170" s="3" t="s">
        <v>722</v>
      </c>
      <c r="K170" s="3" t="s">
        <v>274</v>
      </c>
      <c r="L170" s="3" t="s">
        <v>723</v>
      </c>
      <c r="M170" s="4" t="s">
        <v>25</v>
      </c>
      <c r="N170" s="4" t="s">
        <v>26</v>
      </c>
    </row>
    <row r="171" spans="1:14" ht="60" x14ac:dyDescent="0.25">
      <c r="A171" s="2" t="s">
        <v>724</v>
      </c>
      <c r="B171" s="3" t="s">
        <v>725</v>
      </c>
      <c r="C171" s="2" t="s">
        <v>656</v>
      </c>
      <c r="D171" s="3" t="s">
        <v>661</v>
      </c>
      <c r="E171" s="3" t="s">
        <v>726</v>
      </c>
      <c r="F171" s="3" t="s">
        <v>290</v>
      </c>
      <c r="G171" s="4" t="s">
        <v>20</v>
      </c>
      <c r="H171" s="4" t="s">
        <v>20</v>
      </c>
      <c r="I171" s="2" t="s">
        <v>381</v>
      </c>
      <c r="J171" s="3" t="s">
        <v>382</v>
      </c>
      <c r="K171" s="3" t="s">
        <v>274</v>
      </c>
      <c r="L171" s="3" t="s">
        <v>727</v>
      </c>
      <c r="M171" s="4" t="s">
        <v>25</v>
      </c>
      <c r="N171" s="4" t="s">
        <v>26</v>
      </c>
    </row>
    <row r="172" spans="1:14" ht="36" x14ac:dyDescent="0.25">
      <c r="A172" s="2" t="s">
        <v>728</v>
      </c>
      <c r="B172" s="3" t="s">
        <v>729</v>
      </c>
      <c r="C172" s="2" t="s">
        <v>689</v>
      </c>
      <c r="D172" s="3" t="s">
        <v>690</v>
      </c>
      <c r="E172" s="3" t="s">
        <v>726</v>
      </c>
      <c r="F172" s="3" t="s">
        <v>290</v>
      </c>
      <c r="G172" s="4" t="s">
        <v>20</v>
      </c>
      <c r="H172" s="4" t="s">
        <v>20</v>
      </c>
      <c r="I172" s="2" t="s">
        <v>381</v>
      </c>
      <c r="J172" s="3" t="s">
        <v>382</v>
      </c>
      <c r="K172" s="3" t="s">
        <v>274</v>
      </c>
      <c r="L172" s="3" t="s">
        <v>730</v>
      </c>
      <c r="M172" s="4" t="s">
        <v>25</v>
      </c>
      <c r="N172" s="4" t="s">
        <v>26</v>
      </c>
    </row>
    <row r="173" spans="1:14" ht="36" x14ac:dyDescent="0.25">
      <c r="A173" s="2" t="s">
        <v>731</v>
      </c>
      <c r="B173" s="3" t="s">
        <v>732</v>
      </c>
      <c r="C173" s="2" t="s">
        <v>689</v>
      </c>
      <c r="D173" s="3" t="s">
        <v>690</v>
      </c>
      <c r="E173" s="3" t="s">
        <v>726</v>
      </c>
      <c r="F173" s="3" t="s">
        <v>290</v>
      </c>
      <c r="G173" s="4" t="s">
        <v>20</v>
      </c>
      <c r="H173" s="4" t="s">
        <v>20</v>
      </c>
      <c r="I173" s="2" t="s">
        <v>381</v>
      </c>
      <c r="J173" s="3" t="s">
        <v>382</v>
      </c>
      <c r="K173" s="3" t="s">
        <v>274</v>
      </c>
      <c r="L173" s="3" t="s">
        <v>730</v>
      </c>
      <c r="M173" s="4" t="s">
        <v>25</v>
      </c>
      <c r="N173" s="4" t="s">
        <v>26</v>
      </c>
    </row>
    <row r="174" spans="1:14" ht="48" x14ac:dyDescent="0.25">
      <c r="A174" s="2" t="s">
        <v>733</v>
      </c>
      <c r="B174" s="3" t="s">
        <v>734</v>
      </c>
      <c r="C174" s="2" t="s">
        <v>656</v>
      </c>
      <c r="D174" s="3" t="s">
        <v>661</v>
      </c>
      <c r="E174" s="3" t="s">
        <v>726</v>
      </c>
      <c r="F174" s="3" t="s">
        <v>290</v>
      </c>
      <c r="G174" s="4" t="s">
        <v>20</v>
      </c>
      <c r="H174" s="4" t="s">
        <v>20</v>
      </c>
      <c r="I174" s="2" t="s">
        <v>381</v>
      </c>
      <c r="J174" s="3" t="s">
        <v>382</v>
      </c>
      <c r="K174" s="3" t="s">
        <v>274</v>
      </c>
      <c r="L174" s="3" t="s">
        <v>735</v>
      </c>
      <c r="M174" s="4" t="s">
        <v>25</v>
      </c>
      <c r="N174" s="4" t="s">
        <v>26</v>
      </c>
    </row>
    <row r="175" spans="1:14" ht="36" x14ac:dyDescent="0.25">
      <c r="A175" s="2" t="s">
        <v>736</v>
      </c>
      <c r="B175" s="3" t="s">
        <v>737</v>
      </c>
      <c r="C175" s="2" t="s">
        <v>738</v>
      </c>
      <c r="D175" s="3" t="s">
        <v>739</v>
      </c>
      <c r="E175" s="3" t="s">
        <v>726</v>
      </c>
      <c r="F175" s="3" t="s">
        <v>41</v>
      </c>
      <c r="G175" s="4" t="s">
        <v>20</v>
      </c>
      <c r="H175" s="4" t="s">
        <v>20</v>
      </c>
      <c r="I175" s="2" t="s">
        <v>381</v>
      </c>
      <c r="J175" s="3" t="s">
        <v>382</v>
      </c>
      <c r="K175" s="3" t="s">
        <v>274</v>
      </c>
      <c r="L175" s="3" t="s">
        <v>740</v>
      </c>
      <c r="M175" s="4" t="s">
        <v>25</v>
      </c>
      <c r="N175" s="4" t="s">
        <v>26</v>
      </c>
    </row>
    <row r="176" spans="1:14" ht="36" x14ac:dyDescent="0.25">
      <c r="A176" s="2" t="s">
        <v>741</v>
      </c>
      <c r="B176" s="3" t="s">
        <v>742</v>
      </c>
      <c r="C176" s="2" t="s">
        <v>689</v>
      </c>
      <c r="D176" s="3" t="s">
        <v>690</v>
      </c>
      <c r="E176" s="3" t="s">
        <v>726</v>
      </c>
      <c r="F176" s="3" t="s">
        <v>290</v>
      </c>
      <c r="G176" s="4" t="s">
        <v>20</v>
      </c>
      <c r="H176" s="4" t="s">
        <v>20</v>
      </c>
      <c r="I176" s="2" t="s">
        <v>381</v>
      </c>
      <c r="J176" s="3" t="s">
        <v>382</v>
      </c>
      <c r="K176" s="3" t="s">
        <v>274</v>
      </c>
      <c r="L176" s="3" t="s">
        <v>730</v>
      </c>
      <c r="M176" s="4" t="s">
        <v>25</v>
      </c>
      <c r="N176" s="4" t="s">
        <v>26</v>
      </c>
    </row>
    <row r="177" spans="1:14" ht="36" x14ac:dyDescent="0.25">
      <c r="A177" s="2" t="s">
        <v>743</v>
      </c>
      <c r="B177" s="3" t="s">
        <v>744</v>
      </c>
      <c r="C177" s="2" t="s">
        <v>656</v>
      </c>
      <c r="D177" s="3" t="s">
        <v>661</v>
      </c>
      <c r="E177" s="3" t="s">
        <v>745</v>
      </c>
      <c r="F177" s="3" t="s">
        <v>290</v>
      </c>
      <c r="G177" s="4" t="s">
        <v>20</v>
      </c>
      <c r="H177" s="4" t="s">
        <v>20</v>
      </c>
      <c r="I177" s="2" t="s">
        <v>381</v>
      </c>
      <c r="J177" s="3" t="s">
        <v>382</v>
      </c>
      <c r="K177" s="3" t="s">
        <v>274</v>
      </c>
      <c r="L177" s="3" t="s">
        <v>746</v>
      </c>
      <c r="M177" s="4" t="s">
        <v>34</v>
      </c>
      <c r="N177" s="4" t="s">
        <v>26</v>
      </c>
    </row>
    <row r="178" spans="1:14" ht="36" x14ac:dyDescent="0.25">
      <c r="A178" s="2" t="s">
        <v>747</v>
      </c>
      <c r="B178" s="3" t="s">
        <v>748</v>
      </c>
      <c r="C178" s="2" t="s">
        <v>230</v>
      </c>
      <c r="D178" s="3" t="s">
        <v>231</v>
      </c>
      <c r="E178" s="3" t="s">
        <v>745</v>
      </c>
      <c r="F178" s="3" t="s">
        <v>41</v>
      </c>
      <c r="G178" s="4" t="s">
        <v>20</v>
      </c>
      <c r="H178" s="4" t="s">
        <v>20</v>
      </c>
      <c r="I178" s="2" t="s">
        <v>575</v>
      </c>
      <c r="J178" s="3" t="s">
        <v>749</v>
      </c>
      <c r="K178" s="3" t="s">
        <v>274</v>
      </c>
      <c r="L178" s="3" t="s">
        <v>750</v>
      </c>
      <c r="M178" s="4" t="s">
        <v>25</v>
      </c>
      <c r="N178" s="4" t="s">
        <v>26</v>
      </c>
    </row>
    <row r="179" spans="1:14" ht="36" x14ac:dyDescent="0.25">
      <c r="A179" s="2" t="s">
        <v>751</v>
      </c>
      <c r="B179" s="3" t="s">
        <v>752</v>
      </c>
      <c r="C179" s="2" t="s">
        <v>230</v>
      </c>
      <c r="D179" s="3" t="s">
        <v>231</v>
      </c>
      <c r="E179" s="3" t="s">
        <v>745</v>
      </c>
      <c r="F179" s="3" t="s">
        <v>41</v>
      </c>
      <c r="G179" s="4" t="s">
        <v>20</v>
      </c>
      <c r="H179" s="4" t="s">
        <v>20</v>
      </c>
      <c r="I179" s="2" t="s">
        <v>381</v>
      </c>
      <c r="J179" s="3" t="s">
        <v>382</v>
      </c>
      <c r="K179" s="3" t="s">
        <v>274</v>
      </c>
      <c r="L179" s="3" t="s">
        <v>753</v>
      </c>
      <c r="M179" s="4" t="s">
        <v>25</v>
      </c>
      <c r="N179" s="4" t="s">
        <v>26</v>
      </c>
    </row>
    <row r="180" spans="1:14" ht="36" x14ac:dyDescent="0.25">
      <c r="A180" s="2" t="s">
        <v>754</v>
      </c>
      <c r="B180" s="3" t="s">
        <v>755</v>
      </c>
      <c r="C180" s="2" t="s">
        <v>230</v>
      </c>
      <c r="D180" s="3" t="s">
        <v>231</v>
      </c>
      <c r="E180" s="3" t="s">
        <v>745</v>
      </c>
      <c r="F180" s="3" t="s">
        <v>41</v>
      </c>
      <c r="G180" s="4" t="s">
        <v>20</v>
      </c>
      <c r="H180" s="4" t="s">
        <v>20</v>
      </c>
      <c r="I180" s="2" t="s">
        <v>381</v>
      </c>
      <c r="J180" s="3" t="s">
        <v>382</v>
      </c>
      <c r="K180" s="3" t="s">
        <v>274</v>
      </c>
      <c r="L180" s="3" t="s">
        <v>753</v>
      </c>
      <c r="M180" s="4" t="s">
        <v>25</v>
      </c>
      <c r="N180" s="4" t="s">
        <v>26</v>
      </c>
    </row>
    <row r="181" spans="1:14" ht="36" x14ac:dyDescent="0.25">
      <c r="A181" s="2" t="s">
        <v>756</v>
      </c>
      <c r="B181" s="3" t="s">
        <v>757</v>
      </c>
      <c r="C181" s="2" t="s">
        <v>66</v>
      </c>
      <c r="D181" s="3"/>
      <c r="E181" s="3" t="s">
        <v>745</v>
      </c>
      <c r="F181" s="3"/>
      <c r="G181" s="4" t="s">
        <v>68</v>
      </c>
      <c r="H181" s="4" t="s">
        <v>68</v>
      </c>
      <c r="I181" s="2"/>
      <c r="J181" s="3"/>
      <c r="K181" s="3"/>
      <c r="L181" s="3" t="s">
        <v>758</v>
      </c>
      <c r="M181" s="4" t="s">
        <v>234</v>
      </c>
      <c r="N181" s="4" t="s">
        <v>235</v>
      </c>
    </row>
    <row r="182" spans="1:14" ht="48" x14ac:dyDescent="0.25">
      <c r="A182" s="2" t="s">
        <v>759</v>
      </c>
      <c r="B182" s="3" t="s">
        <v>760</v>
      </c>
      <c r="C182" s="2" t="s">
        <v>761</v>
      </c>
      <c r="D182" s="3" t="s">
        <v>762</v>
      </c>
      <c r="E182" s="3" t="s">
        <v>763</v>
      </c>
      <c r="F182" s="3" t="s">
        <v>631</v>
      </c>
      <c r="G182" s="4" t="s">
        <v>20</v>
      </c>
      <c r="H182" s="4" t="s">
        <v>20</v>
      </c>
      <c r="I182" s="2" t="s">
        <v>381</v>
      </c>
      <c r="J182" s="3" t="s">
        <v>382</v>
      </c>
      <c r="K182" s="3" t="s">
        <v>274</v>
      </c>
      <c r="L182" s="3" t="s">
        <v>764</v>
      </c>
      <c r="M182" s="4" t="s">
        <v>25</v>
      </c>
      <c r="N182" s="4" t="s">
        <v>26</v>
      </c>
    </row>
    <row r="183" spans="1:14" ht="48" x14ac:dyDescent="0.25">
      <c r="A183" s="2" t="s">
        <v>765</v>
      </c>
      <c r="B183" s="3" t="s">
        <v>615</v>
      </c>
      <c r="C183" s="2" t="s">
        <v>505</v>
      </c>
      <c r="D183" s="3" t="s">
        <v>506</v>
      </c>
      <c r="E183" s="3" t="s">
        <v>507</v>
      </c>
      <c r="F183" s="3" t="s">
        <v>499</v>
      </c>
      <c r="G183" s="4" t="s">
        <v>32</v>
      </c>
      <c r="H183" s="4" t="s">
        <v>32</v>
      </c>
      <c r="I183" s="2" t="s">
        <v>505</v>
      </c>
      <c r="J183" s="3" t="s">
        <v>508</v>
      </c>
      <c r="K183" s="3" t="s">
        <v>499</v>
      </c>
      <c r="L183" s="3" t="s">
        <v>509</v>
      </c>
      <c r="M183" s="4" t="s">
        <v>25</v>
      </c>
      <c r="N183" s="4" t="s">
        <v>63</v>
      </c>
    </row>
    <row r="184" spans="1:14" ht="48" x14ac:dyDescent="0.25">
      <c r="A184" s="2" t="s">
        <v>766</v>
      </c>
      <c r="B184" s="3" t="s">
        <v>767</v>
      </c>
      <c r="C184" s="2" t="s">
        <v>66</v>
      </c>
      <c r="D184" s="3"/>
      <c r="E184" s="3" t="s">
        <v>768</v>
      </c>
      <c r="F184" s="3"/>
      <c r="G184" s="4" t="s">
        <v>68</v>
      </c>
      <c r="H184" s="4" t="s">
        <v>68</v>
      </c>
      <c r="I184" s="4" t="str">
        <f>INDEX(Neuanlagen!$C$6:$C$90,MATCH($A184,Neuanlagen!$A$6:$A$90,0))</f>
        <v>41800400</v>
      </c>
      <c r="J184" s="3" t="str">
        <f>INDEX(Neuanlagen!$D$6:$D$90,MATCH($A184,Neuanlagen!$A$6:$A$90,0))</f>
        <v>PRM-Entgelt (People with reduced Mobility)</v>
      </c>
      <c r="K184" s="3" t="s">
        <v>769</v>
      </c>
      <c r="L184" s="3" t="s">
        <v>770</v>
      </c>
      <c r="M184" s="4" t="s">
        <v>34</v>
      </c>
      <c r="N184" s="4" t="s">
        <v>771</v>
      </c>
    </row>
    <row r="185" spans="1:14" ht="48" x14ac:dyDescent="0.25">
      <c r="A185" s="2" t="s">
        <v>772</v>
      </c>
      <c r="B185" s="3" t="s">
        <v>773</v>
      </c>
      <c r="C185" s="2" t="s">
        <v>66</v>
      </c>
      <c r="D185" s="3"/>
      <c r="E185" s="3" t="s">
        <v>774</v>
      </c>
      <c r="F185" s="3"/>
      <c r="G185" s="4" t="s">
        <v>68</v>
      </c>
      <c r="H185" s="4" t="s">
        <v>68</v>
      </c>
      <c r="I185" s="4" t="str">
        <f>INDEX(Neuanlagen!$C$6:$C$90,MATCH($A185,Neuanlagen!$A$6:$A$90,0))</f>
        <v>41800000</v>
      </c>
      <c r="J185" s="3" t="str">
        <f>INDEX(Neuanlagen!$D$6:$D$90,MATCH($A185,Neuanlagen!$A$6:$A$90,0))</f>
        <v>Grundentgelte</v>
      </c>
      <c r="K185" s="3" t="s">
        <v>769</v>
      </c>
      <c r="L185" s="3" t="s">
        <v>770</v>
      </c>
      <c r="M185" s="4" t="s">
        <v>34</v>
      </c>
      <c r="N185" s="4" t="s">
        <v>771</v>
      </c>
    </row>
    <row r="186" spans="1:14" ht="48" x14ac:dyDescent="0.25">
      <c r="A186" s="2" t="s">
        <v>775</v>
      </c>
      <c r="B186" s="3" t="s">
        <v>776</v>
      </c>
      <c r="C186" s="2" t="s">
        <v>66</v>
      </c>
      <c r="D186" s="3"/>
      <c r="E186" s="3" t="s">
        <v>774</v>
      </c>
      <c r="F186" s="3"/>
      <c r="G186" s="4" t="s">
        <v>68</v>
      </c>
      <c r="H186" s="4" t="s">
        <v>68</v>
      </c>
      <c r="I186" s="4" t="str">
        <f>INDEX(Neuanlagen!$C$6:$C$90,MATCH($A186,Neuanlagen!$A$6:$A$90,0))</f>
        <v>41800001</v>
      </c>
      <c r="J186" s="3" t="str">
        <f>INDEX(Neuanlagen!$D$6:$D$90,MATCH($A186,Neuanlagen!$A$6:$A$90,0))</f>
        <v>NOX-Entgelte</v>
      </c>
      <c r="K186" s="3" t="s">
        <v>769</v>
      </c>
      <c r="L186" s="3" t="s">
        <v>770</v>
      </c>
      <c r="M186" s="4" t="s">
        <v>34</v>
      </c>
      <c r="N186" s="4" t="s">
        <v>771</v>
      </c>
    </row>
    <row r="187" spans="1:14" ht="60" x14ac:dyDescent="0.25">
      <c r="A187" s="2" t="s">
        <v>777</v>
      </c>
      <c r="B187" s="3" t="s">
        <v>778</v>
      </c>
      <c r="C187" s="2" t="s">
        <v>779</v>
      </c>
      <c r="D187" s="3" t="s">
        <v>780</v>
      </c>
      <c r="E187" s="3" t="s">
        <v>774</v>
      </c>
      <c r="F187" s="3" t="s">
        <v>781</v>
      </c>
      <c r="G187" s="4" t="s">
        <v>20</v>
      </c>
      <c r="H187" s="4" t="s">
        <v>20</v>
      </c>
      <c r="I187" s="4" t="str">
        <f>INDEX(Neuanlagen!$C$6:$C$90,MATCH($A187,Neuanlagen!$A$6:$A$90,0))</f>
        <v>41800002</v>
      </c>
      <c r="J187" s="3" t="str">
        <f>INDEX(Neuanlagen!$D$6:$D$90,MATCH($A187,Neuanlagen!$A$6:$A$90,0))</f>
        <v>Lärmzuschläge</v>
      </c>
      <c r="K187" s="3" t="s">
        <v>769</v>
      </c>
      <c r="L187" s="3" t="s">
        <v>782</v>
      </c>
      <c r="M187" s="4" t="s">
        <v>34</v>
      </c>
      <c r="N187" s="4" t="s">
        <v>771</v>
      </c>
    </row>
    <row r="188" spans="1:14" ht="48" x14ac:dyDescent="0.25">
      <c r="A188" s="2" t="s">
        <v>783</v>
      </c>
      <c r="B188" s="3" t="s">
        <v>784</v>
      </c>
      <c r="C188" s="2" t="s">
        <v>66</v>
      </c>
      <c r="D188" s="3"/>
      <c r="E188" s="3" t="s">
        <v>774</v>
      </c>
      <c r="F188" s="3"/>
      <c r="G188" s="4" t="s">
        <v>68</v>
      </c>
      <c r="H188" s="4" t="s">
        <v>68</v>
      </c>
      <c r="I188" s="4" t="str">
        <f>INDEX(Neuanlagen!$C$6:$C$90,MATCH($A188,Neuanlagen!$A$6:$A$90,0))</f>
        <v>41800020</v>
      </c>
      <c r="J188" s="3" t="str">
        <f>INDEX(Neuanlagen!$D$6:$D$90,MATCH($A188,Neuanlagen!$A$6:$A$90,0))</f>
        <v>Lande und Startentg. GAT</v>
      </c>
      <c r="K188" s="3" t="s">
        <v>769</v>
      </c>
      <c r="L188" s="3" t="s">
        <v>770</v>
      </c>
      <c r="M188" s="4" t="s">
        <v>34</v>
      </c>
      <c r="N188" s="4" t="s">
        <v>771</v>
      </c>
    </row>
    <row r="189" spans="1:14" ht="48" x14ac:dyDescent="0.25">
      <c r="A189" s="2" t="s">
        <v>785</v>
      </c>
      <c r="B189" s="3" t="s">
        <v>786</v>
      </c>
      <c r="C189" s="2" t="s">
        <v>66</v>
      </c>
      <c r="D189" s="3"/>
      <c r="E189" s="3" t="s">
        <v>774</v>
      </c>
      <c r="F189" s="3"/>
      <c r="G189" s="4" t="s">
        <v>68</v>
      </c>
      <c r="H189" s="4" t="s">
        <v>68</v>
      </c>
      <c r="I189" s="4" t="str">
        <f>INDEX(Neuanlagen!$C$6:$C$90,MATCH($A189,Neuanlagen!$A$6:$A$90,0))</f>
        <v>41810050</v>
      </c>
      <c r="J189" s="3" t="str">
        <f>INDEX(Neuanlagen!$D$6:$D$90,MATCH($A189,Neuanlagen!$A$6:$A$90,0))</f>
        <v>Positionsentgelt</v>
      </c>
      <c r="K189" s="3" t="s">
        <v>769</v>
      </c>
      <c r="L189" s="3" t="s">
        <v>770</v>
      </c>
      <c r="M189" s="4" t="s">
        <v>34</v>
      </c>
      <c r="N189" s="4" t="s">
        <v>771</v>
      </c>
    </row>
    <row r="190" spans="1:14" ht="60" x14ac:dyDescent="0.25">
      <c r="A190" s="2" t="s">
        <v>787</v>
      </c>
      <c r="B190" s="3" t="s">
        <v>788</v>
      </c>
      <c r="C190" s="2" t="s">
        <v>789</v>
      </c>
      <c r="D190" s="3" t="s">
        <v>790</v>
      </c>
      <c r="E190" s="3" t="s">
        <v>791</v>
      </c>
      <c r="F190" s="3" t="s">
        <v>792</v>
      </c>
      <c r="G190" s="4" t="s">
        <v>20</v>
      </c>
      <c r="H190" s="4" t="s">
        <v>32</v>
      </c>
      <c r="I190" s="4" t="str">
        <f>INDEX(Neuanlagen!$C$6:$C$90,MATCH($A190,Neuanlagen!$A$6:$A$90,0))</f>
        <v>41800010</v>
      </c>
      <c r="J190" s="3" t="str">
        <f>INDEX(Neuanlagen!$D$6:$D$90,MATCH($A190,Neuanlagen!$A$6:$A$90,0))</f>
        <v>Passagierentgelte Inland</v>
      </c>
      <c r="K190" s="3" t="s">
        <v>769</v>
      </c>
      <c r="L190" s="3" t="s">
        <v>793</v>
      </c>
      <c r="M190" s="4" t="s">
        <v>34</v>
      </c>
      <c r="N190" s="4" t="s">
        <v>771</v>
      </c>
    </row>
    <row r="191" spans="1:14" ht="48" x14ac:dyDescent="0.25">
      <c r="A191" s="2" t="s">
        <v>794</v>
      </c>
      <c r="B191" s="3" t="s">
        <v>795</v>
      </c>
      <c r="C191" s="2" t="s">
        <v>66</v>
      </c>
      <c r="D191" s="3"/>
      <c r="E191" s="3" t="s">
        <v>791</v>
      </c>
      <c r="F191" s="3"/>
      <c r="G191" s="4" t="s">
        <v>68</v>
      </c>
      <c r="H191" s="4" t="s">
        <v>68</v>
      </c>
      <c r="I191" s="4" t="str">
        <f>INDEX(Neuanlagen!$C$6:$C$90,MATCH($A191,Neuanlagen!$A$6:$A$90,0))</f>
        <v>41800110</v>
      </c>
      <c r="J191" s="3" t="str">
        <f>INDEX(Neuanlagen!$D$6:$D$90,MATCH($A191,Neuanlagen!$A$6:$A$90,0))</f>
        <v>Passagierentgelte NON EU</v>
      </c>
      <c r="K191" s="3" t="s">
        <v>769</v>
      </c>
      <c r="L191" s="3" t="s">
        <v>770</v>
      </c>
      <c r="M191" s="4" t="s">
        <v>34</v>
      </c>
      <c r="N191" s="4" t="s">
        <v>771</v>
      </c>
    </row>
    <row r="192" spans="1:14" ht="48" x14ac:dyDescent="0.25">
      <c r="A192" s="2" t="s">
        <v>796</v>
      </c>
      <c r="B192" s="3" t="s">
        <v>797</v>
      </c>
      <c r="C192" s="2" t="s">
        <v>66</v>
      </c>
      <c r="D192" s="3"/>
      <c r="E192" s="3" t="s">
        <v>791</v>
      </c>
      <c r="F192" s="3"/>
      <c r="G192" s="4" t="s">
        <v>68</v>
      </c>
      <c r="H192" s="4" t="s">
        <v>68</v>
      </c>
      <c r="I192" s="4" t="str">
        <f>INDEX(Neuanlagen!$C$6:$C$90,MATCH($A192,Neuanlagen!$A$6:$A$90,0))</f>
        <v>41800111</v>
      </c>
      <c r="J192" s="3" t="str">
        <f>INDEX(Neuanlagen!$D$6:$D$90,MATCH($A192,Neuanlagen!$A$6:$A$90,0))</f>
        <v>Passagierentgelte EU</v>
      </c>
      <c r="K192" s="3" t="s">
        <v>769</v>
      </c>
      <c r="L192" s="3" t="s">
        <v>770</v>
      </c>
      <c r="M192" s="4" t="s">
        <v>34</v>
      </c>
      <c r="N192" s="4" t="s">
        <v>771</v>
      </c>
    </row>
    <row r="193" spans="1:14" ht="48" x14ac:dyDescent="0.25">
      <c r="A193" s="2" t="s">
        <v>798</v>
      </c>
      <c r="B193" s="3" t="s">
        <v>799</v>
      </c>
      <c r="C193" s="2" t="s">
        <v>66</v>
      </c>
      <c r="D193" s="3"/>
      <c r="E193" s="3" t="s">
        <v>791</v>
      </c>
      <c r="F193" s="3"/>
      <c r="G193" s="4" t="s">
        <v>68</v>
      </c>
      <c r="H193" s="4" t="s">
        <v>68</v>
      </c>
      <c r="I193" s="4" t="str">
        <f>INDEX(Neuanlagen!$C$6:$C$90,MATCH($A193,Neuanlagen!$A$6:$A$90,0))</f>
        <v>41800420</v>
      </c>
      <c r="J193" s="3" t="str">
        <f>INDEX(Neuanlagen!$D$6:$D$90,MATCH($A193,Neuanlagen!$A$6:$A$90,0))</f>
        <v>Passagierentgelte Transit / Transfer</v>
      </c>
      <c r="K193" s="3" t="s">
        <v>769</v>
      </c>
      <c r="L193" s="3" t="s">
        <v>770</v>
      </c>
      <c r="M193" s="4" t="s">
        <v>34</v>
      </c>
      <c r="N193" s="4" t="s">
        <v>771</v>
      </c>
    </row>
    <row r="194" spans="1:14" ht="48" x14ac:dyDescent="0.25">
      <c r="A194" s="2" t="s">
        <v>800</v>
      </c>
      <c r="B194" s="3" t="s">
        <v>801</v>
      </c>
      <c r="C194" s="2" t="s">
        <v>66</v>
      </c>
      <c r="D194" s="3"/>
      <c r="E194" s="3" t="s">
        <v>791</v>
      </c>
      <c r="F194" s="3"/>
      <c r="G194" s="4" t="s">
        <v>68</v>
      </c>
      <c r="H194" s="4" t="s">
        <v>68</v>
      </c>
      <c r="I194" s="4" t="str">
        <f>INDEX(Neuanlagen!$C$6:$C$90,MATCH($A194,Neuanlagen!$A$6:$A$90,0))</f>
        <v>41800430</v>
      </c>
      <c r="J194" s="3" t="str">
        <f>INDEX(Neuanlagen!$D$6:$D$90,MATCH($A194,Neuanlagen!$A$6:$A$90,0))</f>
        <v>EU-Sicherheitsentgelte</v>
      </c>
      <c r="K194" s="3" t="s">
        <v>769</v>
      </c>
      <c r="L194" s="3" t="s">
        <v>770</v>
      </c>
      <c r="M194" s="4" t="s">
        <v>34</v>
      </c>
      <c r="N194" s="4" t="s">
        <v>771</v>
      </c>
    </row>
    <row r="195" spans="1:14" ht="48" x14ac:dyDescent="0.25">
      <c r="A195" s="2" t="s">
        <v>802</v>
      </c>
      <c r="B195" s="3" t="s">
        <v>803</v>
      </c>
      <c r="C195" s="2" t="s">
        <v>66</v>
      </c>
      <c r="D195" s="3"/>
      <c r="E195" s="3" t="s">
        <v>791</v>
      </c>
      <c r="F195" s="3"/>
      <c r="G195" s="4" t="s">
        <v>68</v>
      </c>
      <c r="H195" s="4" t="s">
        <v>68</v>
      </c>
      <c r="I195" s="2" t="s">
        <v>804</v>
      </c>
      <c r="J195" s="3" t="s">
        <v>805</v>
      </c>
      <c r="K195" s="3" t="s">
        <v>792</v>
      </c>
      <c r="L195" s="3" t="s">
        <v>806</v>
      </c>
      <c r="M195" s="4" t="s">
        <v>25</v>
      </c>
      <c r="N195" s="4" t="s">
        <v>26</v>
      </c>
    </row>
    <row r="196" spans="1:14" ht="48" x14ac:dyDescent="0.25">
      <c r="A196" s="2" t="s">
        <v>807</v>
      </c>
      <c r="B196" s="3" t="s">
        <v>808</v>
      </c>
      <c r="C196" s="2" t="s">
        <v>66</v>
      </c>
      <c r="D196" s="3"/>
      <c r="E196" s="3" t="s">
        <v>791</v>
      </c>
      <c r="F196" s="3"/>
      <c r="G196" s="4" t="s">
        <v>68</v>
      </c>
      <c r="H196" s="4" t="s">
        <v>68</v>
      </c>
      <c r="I196" s="2" t="s">
        <v>804</v>
      </c>
      <c r="J196" s="3" t="s">
        <v>805</v>
      </c>
      <c r="K196" s="3" t="s">
        <v>792</v>
      </c>
      <c r="L196" s="3" t="s">
        <v>806</v>
      </c>
      <c r="M196" s="4" t="s">
        <v>25</v>
      </c>
      <c r="N196" s="4" t="s">
        <v>26</v>
      </c>
    </row>
    <row r="197" spans="1:14" ht="48" x14ac:dyDescent="0.25">
      <c r="A197" s="2" t="s">
        <v>809</v>
      </c>
      <c r="B197" s="3" t="s">
        <v>810</v>
      </c>
      <c r="C197" s="2" t="s">
        <v>66</v>
      </c>
      <c r="D197" s="3"/>
      <c r="E197" s="3" t="s">
        <v>811</v>
      </c>
      <c r="F197" s="3"/>
      <c r="G197" s="4" t="s">
        <v>68</v>
      </c>
      <c r="H197" s="4" t="s">
        <v>68</v>
      </c>
      <c r="I197" s="4" t="str">
        <f>INDEX(Neuanlagen!$C$6:$C$90,MATCH($A197,Neuanlagen!$A$6:$A$90,0))</f>
        <v>41801000</v>
      </c>
      <c r="J197" s="3" t="str">
        <f>INDEX(Neuanlagen!$D$6:$D$90,MATCH($A197,Neuanlagen!$A$6:$A$90,0))</f>
        <v>Abstellentgelte</v>
      </c>
      <c r="K197" s="3" t="s">
        <v>769</v>
      </c>
      <c r="L197" s="3" t="s">
        <v>770</v>
      </c>
      <c r="M197" s="4" t="s">
        <v>34</v>
      </c>
      <c r="N197" s="4" t="s">
        <v>771</v>
      </c>
    </row>
    <row r="198" spans="1:14" ht="60" x14ac:dyDescent="0.25">
      <c r="A198" s="2" t="s">
        <v>812</v>
      </c>
      <c r="B198" s="3" t="s">
        <v>813</v>
      </c>
      <c r="C198" s="2" t="s">
        <v>66</v>
      </c>
      <c r="D198" s="3"/>
      <c r="E198" s="3" t="s">
        <v>814</v>
      </c>
      <c r="F198" s="3"/>
      <c r="G198" s="4" t="s">
        <v>68</v>
      </c>
      <c r="H198" s="4" t="s">
        <v>68</v>
      </c>
      <c r="I198" s="4" t="str">
        <f>INDEX(Neuanlagen!$C$6:$C$90,MATCH($A198,Neuanlagen!$A$6:$A$90,0))</f>
        <v>41810030</v>
      </c>
      <c r="J198" s="3" t="str">
        <f>INDEX(Neuanlagen!$D$6:$D$90,MATCH($A198,Neuanlagen!$A$6:$A$90,0))</f>
        <v>Zentrale Infrastruktur Counter</v>
      </c>
      <c r="K198" s="3" t="s">
        <v>769</v>
      </c>
      <c r="L198" s="3" t="s">
        <v>815</v>
      </c>
      <c r="M198" s="4" t="s">
        <v>34</v>
      </c>
      <c r="N198" s="4" t="s">
        <v>771</v>
      </c>
    </row>
    <row r="199" spans="1:14" ht="60" x14ac:dyDescent="0.25">
      <c r="A199" s="2" t="s">
        <v>816</v>
      </c>
      <c r="B199" s="3" t="s">
        <v>817</v>
      </c>
      <c r="C199" s="2" t="s">
        <v>66</v>
      </c>
      <c r="D199" s="3"/>
      <c r="E199" s="3" t="s">
        <v>814</v>
      </c>
      <c r="F199" s="3"/>
      <c r="G199" s="4" t="s">
        <v>68</v>
      </c>
      <c r="H199" s="4" t="s">
        <v>68</v>
      </c>
      <c r="I199" s="4" t="str">
        <f>INDEX(Neuanlagen!$C$6:$C$90,MATCH($A199,Neuanlagen!$A$6:$A$90,0))</f>
        <v>41810032</v>
      </c>
      <c r="J199" s="3" t="str">
        <f>INDEX(Neuanlagen!$D$6:$D$90,MATCH($A199,Neuanlagen!$A$6:$A$90,0))</f>
        <v>Self Baggage Drop off Entgelte</v>
      </c>
      <c r="K199" s="3" t="s">
        <v>769</v>
      </c>
      <c r="L199" s="3" t="s">
        <v>815</v>
      </c>
      <c r="M199" s="4" t="s">
        <v>34</v>
      </c>
      <c r="N199" s="4" t="s">
        <v>771</v>
      </c>
    </row>
    <row r="200" spans="1:14" ht="60" x14ac:dyDescent="0.25">
      <c r="A200" s="2" t="s">
        <v>818</v>
      </c>
      <c r="B200" s="3" t="s">
        <v>819</v>
      </c>
      <c r="C200" s="2" t="s">
        <v>66</v>
      </c>
      <c r="D200" s="3"/>
      <c r="E200" s="3" t="s">
        <v>820</v>
      </c>
      <c r="F200" s="3"/>
      <c r="G200" s="4" t="s">
        <v>68</v>
      </c>
      <c r="H200" s="4" t="s">
        <v>68</v>
      </c>
      <c r="I200" s="4" t="str">
        <f>INDEX(Neuanlagen!$C$6:$C$90,MATCH($A200,Neuanlagen!$A$6:$A$90,0))</f>
        <v>41811010</v>
      </c>
      <c r="J200" s="3" t="str">
        <f>INDEX(Neuanlagen!$D$6:$D$90,MATCH($A200,Neuanlagen!$A$6:$A$90,0))</f>
        <v>Sonderleistungen Flugbetrieb/Treppen</v>
      </c>
      <c r="K200" s="3" t="s">
        <v>769</v>
      </c>
      <c r="L200" s="3" t="s">
        <v>815</v>
      </c>
      <c r="M200" s="4" t="s">
        <v>34</v>
      </c>
      <c r="N200" s="4" t="s">
        <v>771</v>
      </c>
    </row>
    <row r="201" spans="1:14" ht="60" x14ac:dyDescent="0.25">
      <c r="A201" s="2" t="s">
        <v>821</v>
      </c>
      <c r="B201" s="3" t="s">
        <v>822</v>
      </c>
      <c r="C201" s="2" t="s">
        <v>66</v>
      </c>
      <c r="D201" s="3"/>
      <c r="E201" s="3" t="s">
        <v>820</v>
      </c>
      <c r="F201" s="3"/>
      <c r="G201" s="4" t="s">
        <v>68</v>
      </c>
      <c r="H201" s="4" t="s">
        <v>68</v>
      </c>
      <c r="I201" s="4" t="str">
        <f>INDEX(Neuanlagen!$C$6:$C$90,MATCH($A201,Neuanlagen!$A$6:$A$90,0))</f>
        <v>41811020</v>
      </c>
      <c r="J201" s="3" t="str">
        <f>INDEX(Neuanlagen!$D$6:$D$90,MATCH($A201,Neuanlagen!$A$6:$A$90,0))</f>
        <v>Sonderleistungen Terminalservice</v>
      </c>
      <c r="K201" s="3" t="s">
        <v>769</v>
      </c>
      <c r="L201" s="3" t="s">
        <v>815</v>
      </c>
      <c r="M201" s="4" t="s">
        <v>34</v>
      </c>
      <c r="N201" s="4" t="s">
        <v>771</v>
      </c>
    </row>
    <row r="202" spans="1:14" ht="60" x14ac:dyDescent="0.25">
      <c r="A202" s="2" t="s">
        <v>823</v>
      </c>
      <c r="B202" s="3" t="s">
        <v>824</v>
      </c>
      <c r="C202" s="2" t="s">
        <v>66</v>
      </c>
      <c r="D202" s="3"/>
      <c r="E202" s="3" t="s">
        <v>820</v>
      </c>
      <c r="F202" s="3"/>
      <c r="G202" s="4" t="s">
        <v>68</v>
      </c>
      <c r="H202" s="4" t="s">
        <v>68</v>
      </c>
      <c r="I202" s="4" t="str">
        <f>INDEX(Neuanlagen!$C$6:$C$90,MATCH($A202,Neuanlagen!$A$6:$A$90,0))</f>
        <v>41811040</v>
      </c>
      <c r="J202" s="3" t="str">
        <f>INDEX(Neuanlagen!$D$6:$D$90,MATCH($A202,Neuanlagen!$A$6:$A$90,0))</f>
        <v>Sonderleistungen Vorfeldabfertigung</v>
      </c>
      <c r="K202" s="3" t="s">
        <v>769</v>
      </c>
      <c r="L202" s="3" t="s">
        <v>815</v>
      </c>
      <c r="M202" s="4" t="s">
        <v>34</v>
      </c>
      <c r="N202" s="4" t="s">
        <v>771</v>
      </c>
    </row>
    <row r="203" spans="1:14" ht="60" x14ac:dyDescent="0.25">
      <c r="A203" s="2" t="s">
        <v>825</v>
      </c>
      <c r="B203" s="3" t="s">
        <v>826</v>
      </c>
      <c r="C203" s="2" t="s">
        <v>827</v>
      </c>
      <c r="D203" s="3" t="s">
        <v>828</v>
      </c>
      <c r="E203" s="3" t="s">
        <v>820</v>
      </c>
      <c r="F203" s="3" t="s">
        <v>499</v>
      </c>
      <c r="G203" s="4" t="s">
        <v>20</v>
      </c>
      <c r="H203" s="4" t="s">
        <v>20</v>
      </c>
      <c r="I203" s="4" t="str">
        <f>INDEX(Neuanlagen!$C$6:$C$90,MATCH($A203,Neuanlagen!$A$6:$A$90,0))</f>
        <v>41811110</v>
      </c>
      <c r="J203" s="3" t="str">
        <f>INDEX(Neuanlagen!$D$6:$D$90,MATCH($A203,Neuanlagen!$A$6:$A$90,0))</f>
        <v>Sonderleistungen Gepäckdienst</v>
      </c>
      <c r="K203" s="3" t="s">
        <v>769</v>
      </c>
      <c r="L203" s="3" t="s">
        <v>829</v>
      </c>
      <c r="M203" s="4" t="s">
        <v>34</v>
      </c>
      <c r="N203" s="4" t="s">
        <v>771</v>
      </c>
    </row>
    <row r="204" spans="1:14" ht="60" x14ac:dyDescent="0.25">
      <c r="A204" s="2" t="s">
        <v>830</v>
      </c>
      <c r="B204" s="3" t="s">
        <v>831</v>
      </c>
      <c r="C204" s="2" t="s">
        <v>66</v>
      </c>
      <c r="D204" s="3"/>
      <c r="E204" s="3" t="s">
        <v>820</v>
      </c>
      <c r="F204" s="3"/>
      <c r="G204" s="4" t="s">
        <v>68</v>
      </c>
      <c r="H204" s="4" t="s">
        <v>68</v>
      </c>
      <c r="I204" s="4" t="str">
        <f>INDEX(Neuanlagen!$C$6:$C$90,MATCH($A204,Neuanlagen!$A$6:$A$90,0))</f>
        <v>41811130</v>
      </c>
      <c r="J204" s="3" t="str">
        <f>INDEX(Neuanlagen!$D$6:$D$90,MATCH($A204,Neuanlagen!$A$6:$A$90,0))</f>
        <v>Containerlagerung</v>
      </c>
      <c r="K204" s="3" t="s">
        <v>769</v>
      </c>
      <c r="L204" s="3" t="s">
        <v>815</v>
      </c>
      <c r="M204" s="4" t="s">
        <v>34</v>
      </c>
      <c r="N204" s="4" t="s">
        <v>771</v>
      </c>
    </row>
    <row r="205" spans="1:14" ht="84" x14ac:dyDescent="0.25">
      <c r="A205" s="2" t="s">
        <v>832</v>
      </c>
      <c r="B205" s="3" t="s">
        <v>833</v>
      </c>
      <c r="C205" s="2" t="s">
        <v>834</v>
      </c>
      <c r="D205" s="3" t="s">
        <v>835</v>
      </c>
      <c r="E205" s="3" t="s">
        <v>836</v>
      </c>
      <c r="F205" s="3" t="s">
        <v>499</v>
      </c>
      <c r="G205" s="4" t="s">
        <v>20</v>
      </c>
      <c r="H205" s="4" t="s">
        <v>20</v>
      </c>
      <c r="I205" s="4" t="str">
        <f>INDEX(Neuanlagen!$C$6:$C$90,MATCH($A205,Neuanlagen!$A$6:$A$90,0))</f>
        <v>41820000</v>
      </c>
      <c r="J205" s="3" t="str">
        <f>INDEX(Neuanlagen!$D$6:$D$90,MATCH($A205,Neuanlagen!$A$6:$A$90,0))</f>
        <v>Mieterlöse Werbung innen</v>
      </c>
      <c r="K205" s="3" t="s">
        <v>769</v>
      </c>
      <c r="L205" s="3" t="s">
        <v>837</v>
      </c>
      <c r="M205" s="4" t="s">
        <v>34</v>
      </c>
      <c r="N205" s="4" t="s">
        <v>771</v>
      </c>
    </row>
    <row r="206" spans="1:14" ht="84" x14ac:dyDescent="0.25">
      <c r="A206" s="2" t="s">
        <v>838</v>
      </c>
      <c r="B206" s="3" t="s">
        <v>839</v>
      </c>
      <c r="C206" s="2" t="s">
        <v>834</v>
      </c>
      <c r="D206" s="3" t="s">
        <v>835</v>
      </c>
      <c r="E206" s="3" t="s">
        <v>836</v>
      </c>
      <c r="F206" s="3" t="s">
        <v>499</v>
      </c>
      <c r="G206" s="4" t="s">
        <v>20</v>
      </c>
      <c r="H206" s="4" t="s">
        <v>20</v>
      </c>
      <c r="I206" s="4" t="str">
        <f>INDEX(Neuanlagen!$C$6:$C$90,MATCH($A206,Neuanlagen!$A$6:$A$90,0))</f>
        <v>41820003</v>
      </c>
      <c r="J206" s="3" t="str">
        <f>INDEX(Neuanlagen!$D$6:$D$90,MATCH($A206,Neuanlagen!$A$6:$A$90,0))</f>
        <v>Mieterlöse Werbung</v>
      </c>
      <c r="K206" s="3" t="s">
        <v>769</v>
      </c>
      <c r="L206" s="3" t="s">
        <v>837</v>
      </c>
      <c r="M206" s="4" t="s">
        <v>34</v>
      </c>
      <c r="N206" s="4" t="s">
        <v>771</v>
      </c>
    </row>
    <row r="207" spans="1:14" ht="84" x14ac:dyDescent="0.25">
      <c r="A207" s="2" t="s">
        <v>840</v>
      </c>
      <c r="B207" s="3" t="s">
        <v>841</v>
      </c>
      <c r="C207" s="2" t="s">
        <v>842</v>
      </c>
      <c r="D207" s="3" t="s">
        <v>843</v>
      </c>
      <c r="E207" s="3" t="s">
        <v>836</v>
      </c>
      <c r="F207" s="3" t="s">
        <v>844</v>
      </c>
      <c r="G207" s="4" t="s">
        <v>20</v>
      </c>
      <c r="H207" s="4" t="s">
        <v>32</v>
      </c>
      <c r="I207" s="4" t="str">
        <f>INDEX(Neuanlagen!$C$6:$C$90,MATCH($A207,Neuanlagen!$A$6:$A$90,0))</f>
        <v>41820030</v>
      </c>
      <c r="J207" s="3" t="str">
        <f>INDEX(Neuanlagen!$D$6:$D$90,MATCH($A207,Neuanlagen!$A$6:$A$90,0))</f>
        <v>Mieterlöse Verkaufsgeschäfte</v>
      </c>
      <c r="K207" s="3" t="s">
        <v>769</v>
      </c>
      <c r="L207" s="3" t="s">
        <v>845</v>
      </c>
      <c r="M207" s="4" t="s">
        <v>34</v>
      </c>
      <c r="N207" s="4" t="s">
        <v>771</v>
      </c>
    </row>
    <row r="208" spans="1:14" ht="84" x14ac:dyDescent="0.25">
      <c r="A208" s="2" t="s">
        <v>846</v>
      </c>
      <c r="B208" s="3" t="s">
        <v>847</v>
      </c>
      <c r="C208" s="2" t="s">
        <v>834</v>
      </c>
      <c r="D208" s="3" t="s">
        <v>835</v>
      </c>
      <c r="E208" s="3" t="s">
        <v>836</v>
      </c>
      <c r="F208" s="3" t="s">
        <v>499</v>
      </c>
      <c r="G208" s="4" t="s">
        <v>20</v>
      </c>
      <c r="H208" s="4" t="s">
        <v>20</v>
      </c>
      <c r="I208" s="4" t="str">
        <f>INDEX(Neuanlagen!$C$6:$C$90,MATCH($A208,Neuanlagen!$A$6:$A$90,0))</f>
        <v>41820031</v>
      </c>
      <c r="J208" s="3" t="str">
        <f>INDEX(Neuanlagen!$D$6:$D$90,MATCH($A208,Neuanlagen!$A$6:$A$90,0))</f>
        <v>Mieterlöse Gastronomie</v>
      </c>
      <c r="K208" s="3" t="s">
        <v>769</v>
      </c>
      <c r="L208" s="3" t="s">
        <v>837</v>
      </c>
      <c r="M208" s="4" t="s">
        <v>34</v>
      </c>
      <c r="N208" s="4" t="s">
        <v>771</v>
      </c>
    </row>
    <row r="209" spans="1:14" ht="84" x14ac:dyDescent="0.25">
      <c r="A209" s="2" t="s">
        <v>848</v>
      </c>
      <c r="B209" s="3" t="s">
        <v>849</v>
      </c>
      <c r="C209" s="2" t="s">
        <v>842</v>
      </c>
      <c r="D209" s="3" t="s">
        <v>843</v>
      </c>
      <c r="E209" s="3" t="s">
        <v>836</v>
      </c>
      <c r="F209" s="3" t="s">
        <v>844</v>
      </c>
      <c r="G209" s="4" t="s">
        <v>20</v>
      </c>
      <c r="H209" s="4" t="s">
        <v>32</v>
      </c>
      <c r="I209" s="4" t="str">
        <f>INDEX(Neuanlagen!$C$6:$C$90,MATCH($A209,Neuanlagen!$A$6:$A$90,0))</f>
        <v>41820033</v>
      </c>
      <c r="J209" s="3" t="str">
        <f>INDEX(Neuanlagen!$D$6:$D$90,MATCH($A209,Neuanlagen!$A$6:$A$90,0))</f>
        <v>Mieterlöse Reisemarkt</v>
      </c>
      <c r="K209" s="3" t="s">
        <v>769</v>
      </c>
      <c r="L209" s="3" t="s">
        <v>845</v>
      </c>
      <c r="M209" s="4" t="s">
        <v>34</v>
      </c>
      <c r="N209" s="4" t="s">
        <v>771</v>
      </c>
    </row>
    <row r="210" spans="1:14" ht="84" x14ac:dyDescent="0.25">
      <c r="A210" s="2" t="s">
        <v>850</v>
      </c>
      <c r="B210" s="3" t="s">
        <v>851</v>
      </c>
      <c r="C210" s="2" t="s">
        <v>834</v>
      </c>
      <c r="D210" s="3" t="s">
        <v>835</v>
      </c>
      <c r="E210" s="3" t="s">
        <v>836</v>
      </c>
      <c r="F210" s="3" t="s">
        <v>499</v>
      </c>
      <c r="G210" s="4" t="s">
        <v>20</v>
      </c>
      <c r="H210" s="4" t="s">
        <v>20</v>
      </c>
      <c r="I210" s="4" t="str">
        <f>INDEX(Neuanlagen!$C$6:$C$90,MATCH($A210,Neuanlagen!$A$6:$A$90,0))</f>
        <v>41820034</v>
      </c>
      <c r="J210" s="3" t="str">
        <f>INDEX(Neuanlagen!$D$6:$D$90,MATCH($A210,Neuanlagen!$A$6:$A$90,0))</f>
        <v>Mieterlöse DFS/TrValue</v>
      </c>
      <c r="K210" s="3" t="s">
        <v>769</v>
      </c>
      <c r="L210" s="3" t="s">
        <v>837</v>
      </c>
      <c r="M210" s="4" t="s">
        <v>34</v>
      </c>
      <c r="N210" s="4" t="s">
        <v>771</v>
      </c>
    </row>
    <row r="211" spans="1:14" ht="84" x14ac:dyDescent="0.25">
      <c r="A211" s="2" t="s">
        <v>852</v>
      </c>
      <c r="B211" s="3" t="s">
        <v>853</v>
      </c>
      <c r="C211" s="2" t="s">
        <v>854</v>
      </c>
      <c r="D211" s="3" t="s">
        <v>855</v>
      </c>
      <c r="E211" s="3" t="s">
        <v>836</v>
      </c>
      <c r="F211" s="3" t="s">
        <v>499</v>
      </c>
      <c r="G211" s="4" t="s">
        <v>20</v>
      </c>
      <c r="H211" s="4" t="s">
        <v>20</v>
      </c>
      <c r="I211" s="4" t="str">
        <f>INDEX(Neuanlagen!$C$6:$C$90,MATCH($A211,Neuanlagen!$A$6:$A$90,0))</f>
        <v>41820059</v>
      </c>
      <c r="J211" s="3" t="str">
        <f>INDEX(Neuanlagen!$D$6:$D$90,MATCH($A211,Neuanlagen!$A$6:$A$90,0))</f>
        <v>Mieterlöse Sonstiges CO</v>
      </c>
      <c r="K211" s="3" t="s">
        <v>769</v>
      </c>
      <c r="L211" s="3" t="s">
        <v>856</v>
      </c>
      <c r="M211" s="4" t="s">
        <v>34</v>
      </c>
      <c r="N211" s="4" t="s">
        <v>771</v>
      </c>
    </row>
    <row r="212" spans="1:14" ht="84" x14ac:dyDescent="0.25">
      <c r="A212" s="2" t="s">
        <v>857</v>
      </c>
      <c r="B212" s="3" t="s">
        <v>858</v>
      </c>
      <c r="C212" s="2" t="s">
        <v>842</v>
      </c>
      <c r="D212" s="3" t="s">
        <v>843</v>
      </c>
      <c r="E212" s="3" t="s">
        <v>836</v>
      </c>
      <c r="F212" s="3" t="s">
        <v>844</v>
      </c>
      <c r="G212" s="4" t="s">
        <v>20</v>
      </c>
      <c r="H212" s="4" t="s">
        <v>32</v>
      </c>
      <c r="I212" s="4" t="str">
        <f>INDEX(Neuanlagen!$C$6:$C$90,MATCH($A212,Neuanlagen!$A$6:$A$90,0))</f>
        <v>41820060</v>
      </c>
      <c r="J212" s="3" t="str">
        <f>INDEX(Neuanlagen!$D$6:$D$90,MATCH($A212,Neuanlagen!$A$6:$A$90,0))</f>
        <v>Mieterlöse Parken</v>
      </c>
      <c r="K212" s="3" t="s">
        <v>769</v>
      </c>
      <c r="L212" s="3" t="s">
        <v>845</v>
      </c>
      <c r="M212" s="4" t="s">
        <v>34</v>
      </c>
      <c r="N212" s="4" t="s">
        <v>771</v>
      </c>
    </row>
    <row r="213" spans="1:14" ht="84" x14ac:dyDescent="0.25">
      <c r="A213" s="2" t="s">
        <v>859</v>
      </c>
      <c r="B213" s="3" t="s">
        <v>860</v>
      </c>
      <c r="C213" s="2" t="s">
        <v>861</v>
      </c>
      <c r="D213" s="3" t="s">
        <v>862</v>
      </c>
      <c r="E213" s="3" t="s">
        <v>836</v>
      </c>
      <c r="F213" s="3" t="s">
        <v>499</v>
      </c>
      <c r="G213" s="4" t="s">
        <v>20</v>
      </c>
      <c r="H213" s="4" t="s">
        <v>20</v>
      </c>
      <c r="I213" s="4" t="str">
        <f>INDEX(Neuanlagen!$C$6:$C$90,MATCH($A213,Neuanlagen!$A$6:$A$90,0))</f>
        <v>41820061</v>
      </c>
      <c r="J213" s="3" t="str">
        <f>INDEX(Neuanlagen!$D$6:$D$90,MATCH($A213,Neuanlagen!$A$6:$A$90,0))</f>
        <v>Mieterlöse Autovermieter</v>
      </c>
      <c r="K213" s="3" t="s">
        <v>769</v>
      </c>
      <c r="L213" s="3" t="s">
        <v>863</v>
      </c>
      <c r="M213" s="4" t="s">
        <v>34</v>
      </c>
      <c r="N213" s="4" t="s">
        <v>771</v>
      </c>
    </row>
    <row r="214" spans="1:14" ht="84" x14ac:dyDescent="0.25">
      <c r="A214" s="2" t="s">
        <v>864</v>
      </c>
      <c r="B214" s="3" t="s">
        <v>865</v>
      </c>
      <c r="C214" s="2" t="s">
        <v>842</v>
      </c>
      <c r="D214" s="3" t="s">
        <v>843</v>
      </c>
      <c r="E214" s="3" t="s">
        <v>836</v>
      </c>
      <c r="F214" s="3" t="s">
        <v>844</v>
      </c>
      <c r="G214" s="4" t="s">
        <v>20</v>
      </c>
      <c r="H214" s="4" t="s">
        <v>32</v>
      </c>
      <c r="I214" s="4" t="str">
        <f>INDEX(Neuanlagen!$C$6:$C$90,MATCH($A214,Neuanlagen!$A$6:$A$90,0))</f>
        <v>41820062</v>
      </c>
      <c r="J214" s="3" t="str">
        <f>INDEX(Neuanlagen!$D$6:$D$90,MATCH($A214,Neuanlagen!$A$6:$A$90,0))</f>
        <v>Mieterlöse Catering</v>
      </c>
      <c r="K214" s="3" t="s">
        <v>769</v>
      </c>
      <c r="L214" s="3" t="s">
        <v>845</v>
      </c>
      <c r="M214" s="4" t="s">
        <v>34</v>
      </c>
      <c r="N214" s="4" t="s">
        <v>771</v>
      </c>
    </row>
    <row r="215" spans="1:14" ht="84" x14ac:dyDescent="0.25">
      <c r="A215" s="2" t="s">
        <v>866</v>
      </c>
      <c r="B215" s="3" t="s">
        <v>867</v>
      </c>
      <c r="C215" s="2" t="s">
        <v>842</v>
      </c>
      <c r="D215" s="3" t="s">
        <v>843</v>
      </c>
      <c r="E215" s="3" t="s">
        <v>836</v>
      </c>
      <c r="F215" s="3" t="s">
        <v>844</v>
      </c>
      <c r="G215" s="4" t="s">
        <v>20</v>
      </c>
      <c r="H215" s="4" t="s">
        <v>32</v>
      </c>
      <c r="I215" s="4" t="str">
        <f>INDEX(Neuanlagen!$C$6:$C$90,MATCH($A215,Neuanlagen!$A$6:$A$90,0))</f>
        <v>41820063</v>
      </c>
      <c r="J215" s="3" t="str">
        <f>INDEX(Neuanlagen!$D$6:$D$90,MATCH($A215,Neuanlagen!$A$6:$A$90,0))</f>
        <v>Mieterlöse Tankdienste</v>
      </c>
      <c r="K215" s="3" t="s">
        <v>769</v>
      </c>
      <c r="L215" s="3" t="s">
        <v>845</v>
      </c>
      <c r="M215" s="4" t="s">
        <v>34</v>
      </c>
      <c r="N215" s="4" t="s">
        <v>771</v>
      </c>
    </row>
    <row r="216" spans="1:14" ht="84" x14ac:dyDescent="0.25">
      <c r="A216" s="2" t="s">
        <v>868</v>
      </c>
      <c r="B216" s="3" t="s">
        <v>869</v>
      </c>
      <c r="C216" s="2" t="s">
        <v>834</v>
      </c>
      <c r="D216" s="3" t="s">
        <v>835</v>
      </c>
      <c r="E216" s="3" t="s">
        <v>836</v>
      </c>
      <c r="F216" s="3" t="s">
        <v>499</v>
      </c>
      <c r="G216" s="4" t="s">
        <v>20</v>
      </c>
      <c r="H216" s="4" t="s">
        <v>20</v>
      </c>
      <c r="I216" s="4" t="str">
        <f>INDEX(Neuanlagen!$C$6:$C$90,MATCH($A216,Neuanlagen!$A$6:$A$90,0))</f>
        <v>41820064</v>
      </c>
      <c r="J216" s="3" t="str">
        <f>INDEX(Neuanlagen!$D$6:$D$90,MATCH($A216,Neuanlagen!$A$6:$A$90,0))</f>
        <v>Mieterlöse Vermietung</v>
      </c>
      <c r="K216" s="3" t="s">
        <v>769</v>
      </c>
      <c r="L216" s="3" t="s">
        <v>837</v>
      </c>
      <c r="M216" s="4" t="s">
        <v>34</v>
      </c>
      <c r="N216" s="4" t="s">
        <v>771</v>
      </c>
    </row>
    <row r="217" spans="1:14" ht="84" x14ac:dyDescent="0.25">
      <c r="A217" s="2" t="s">
        <v>870</v>
      </c>
      <c r="B217" s="3" t="s">
        <v>871</v>
      </c>
      <c r="C217" s="2" t="s">
        <v>842</v>
      </c>
      <c r="D217" s="3" t="s">
        <v>843</v>
      </c>
      <c r="E217" s="3" t="s">
        <v>836</v>
      </c>
      <c r="F217" s="3" t="s">
        <v>844</v>
      </c>
      <c r="G217" s="4" t="s">
        <v>20</v>
      </c>
      <c r="H217" s="4" t="s">
        <v>32</v>
      </c>
      <c r="I217" s="4" t="str">
        <f>INDEX(Neuanlagen!$C$6:$C$90,MATCH($A217,Neuanlagen!$A$6:$A$90,0))</f>
        <v>41820065</v>
      </c>
      <c r="J217" s="3" t="str">
        <f>INDEX(Neuanlagen!$D$6:$D$90,MATCH($A217,Neuanlagen!$A$6:$A$90,0))</f>
        <v>Mieterlöse Lohausen</v>
      </c>
      <c r="K217" s="3" t="s">
        <v>769</v>
      </c>
      <c r="L217" s="3" t="s">
        <v>845</v>
      </c>
      <c r="M217" s="4" t="s">
        <v>34</v>
      </c>
      <c r="N217" s="4" t="s">
        <v>771</v>
      </c>
    </row>
    <row r="218" spans="1:14" ht="84" x14ac:dyDescent="0.25">
      <c r="A218" s="2" t="s">
        <v>872</v>
      </c>
      <c r="B218" s="3" t="s">
        <v>873</v>
      </c>
      <c r="C218" s="2" t="s">
        <v>842</v>
      </c>
      <c r="D218" s="3" t="s">
        <v>843</v>
      </c>
      <c r="E218" s="3" t="s">
        <v>836</v>
      </c>
      <c r="F218" s="3" t="s">
        <v>844</v>
      </c>
      <c r="G218" s="4" t="s">
        <v>20</v>
      </c>
      <c r="H218" s="4" t="s">
        <v>32</v>
      </c>
      <c r="I218" s="4" t="str">
        <f>INDEX(Neuanlagen!$C$6:$C$90,MATCH($A218,Neuanlagen!$A$6:$A$90,0))</f>
        <v>41820067</v>
      </c>
      <c r="J218" s="3" t="str">
        <f>INDEX(Neuanlagen!$D$6:$D$90,MATCH($A218,Neuanlagen!$A$6:$A$90,0))</f>
        <v>Mieterlöse Telekommunikation</v>
      </c>
      <c r="K218" s="3" t="s">
        <v>769</v>
      </c>
      <c r="L218" s="3" t="s">
        <v>845</v>
      </c>
      <c r="M218" s="4" t="s">
        <v>34</v>
      </c>
      <c r="N218" s="4" t="s">
        <v>771</v>
      </c>
    </row>
    <row r="219" spans="1:14" ht="84" x14ac:dyDescent="0.25">
      <c r="A219" s="2" t="s">
        <v>874</v>
      </c>
      <c r="B219" s="3" t="s">
        <v>875</v>
      </c>
      <c r="C219" s="2" t="s">
        <v>876</v>
      </c>
      <c r="D219" s="3" t="s">
        <v>877</v>
      </c>
      <c r="E219" s="3" t="s">
        <v>836</v>
      </c>
      <c r="F219" s="3" t="s">
        <v>844</v>
      </c>
      <c r="G219" s="4" t="s">
        <v>20</v>
      </c>
      <c r="H219" s="4" t="s">
        <v>32</v>
      </c>
      <c r="I219" s="4" t="str">
        <f>INDEX(Neuanlagen!$C$6:$C$90,MATCH($A219,Neuanlagen!$A$6:$A$90,0))</f>
        <v>41820068</v>
      </c>
      <c r="J219" s="3" t="str">
        <f>INDEX(Neuanlagen!$D$6:$D$90,MATCH($A219,Neuanlagen!$A$6:$A$90,0))</f>
        <v>Mieterlöse Parken Passagiere</v>
      </c>
      <c r="K219" s="3" t="s">
        <v>769</v>
      </c>
      <c r="L219" s="3" t="s">
        <v>878</v>
      </c>
      <c r="M219" s="4" t="s">
        <v>34</v>
      </c>
      <c r="N219" s="4" t="s">
        <v>771</v>
      </c>
    </row>
    <row r="220" spans="1:14" ht="84" x14ac:dyDescent="0.25">
      <c r="A220" s="2" t="s">
        <v>879</v>
      </c>
      <c r="B220" s="3" t="s">
        <v>880</v>
      </c>
      <c r="C220" s="2" t="s">
        <v>842</v>
      </c>
      <c r="D220" s="3" t="s">
        <v>843</v>
      </c>
      <c r="E220" s="3" t="s">
        <v>836</v>
      </c>
      <c r="F220" s="3" t="s">
        <v>844</v>
      </c>
      <c r="G220" s="4" t="s">
        <v>20</v>
      </c>
      <c r="H220" s="4" t="s">
        <v>32</v>
      </c>
      <c r="I220" s="4" t="str">
        <f>INDEX(Neuanlagen!$C$6:$C$90,MATCH($A220,Neuanlagen!$A$6:$A$90,0))</f>
        <v>41820089</v>
      </c>
      <c r="J220" s="3" t="str">
        <f>INDEX(Neuanlagen!$D$6:$D$90,MATCH($A220,Neuanlagen!$A$6:$A$90,0))</f>
        <v>Mieterlöse Sonstiges IM</v>
      </c>
      <c r="K220" s="3" t="s">
        <v>769</v>
      </c>
      <c r="L220" s="3" t="s">
        <v>845</v>
      </c>
      <c r="M220" s="4" t="s">
        <v>34</v>
      </c>
      <c r="N220" s="4" t="s">
        <v>771</v>
      </c>
    </row>
    <row r="221" spans="1:14" ht="72" x14ac:dyDescent="0.25">
      <c r="A221" s="2" t="s">
        <v>881</v>
      </c>
      <c r="B221" s="3" t="s">
        <v>882</v>
      </c>
      <c r="C221" s="2" t="s">
        <v>66</v>
      </c>
      <c r="D221" s="3"/>
      <c r="E221" s="3" t="s">
        <v>836</v>
      </c>
      <c r="F221" s="3"/>
      <c r="G221" s="4" t="s">
        <v>68</v>
      </c>
      <c r="H221" s="4" t="s">
        <v>68</v>
      </c>
      <c r="I221" s="4" t="str">
        <f>INDEX(Neuanlagen!$C$6:$C$90,MATCH($A221,Neuanlagen!$A$6:$A$90,0))</f>
        <v>41820900</v>
      </c>
      <c r="J221" s="3" t="str">
        <f>INDEX(Neuanlagen!$D$6:$D$90,MATCH($A221,Neuanlagen!$A$6:$A$90,0))</f>
        <v>Nutzungsentgelt Lärmschutzhalle</v>
      </c>
      <c r="K221" s="3" t="s">
        <v>769</v>
      </c>
      <c r="L221" s="3" t="s">
        <v>883</v>
      </c>
      <c r="M221" s="4" t="s">
        <v>34</v>
      </c>
      <c r="N221" s="4" t="s">
        <v>771</v>
      </c>
    </row>
    <row r="222" spans="1:14" ht="84" x14ac:dyDescent="0.25">
      <c r="A222" s="2" t="s">
        <v>884</v>
      </c>
      <c r="B222" s="3" t="s">
        <v>885</v>
      </c>
      <c r="C222" s="2" t="s">
        <v>834</v>
      </c>
      <c r="D222" s="3" t="s">
        <v>835</v>
      </c>
      <c r="E222" s="3" t="s">
        <v>836</v>
      </c>
      <c r="F222" s="3" t="s">
        <v>499</v>
      </c>
      <c r="G222" s="4" t="s">
        <v>20</v>
      </c>
      <c r="H222" s="4" t="s">
        <v>20</v>
      </c>
      <c r="I222" s="4" t="str">
        <f>INDEX(Neuanlagen!$C$6:$C$90,MATCH($A222,Neuanlagen!$A$6:$A$90,0))</f>
        <v>41823590</v>
      </c>
      <c r="J222" s="3" t="str">
        <f>INDEX(Neuanlagen!$D$6:$D$90,MATCH($A222,Neuanlagen!$A$6:$A$90,0))</f>
        <v>Mieterlöse aus Gebrauchsüberlassung</v>
      </c>
      <c r="K222" s="3" t="s">
        <v>769</v>
      </c>
      <c r="L222" s="3" t="s">
        <v>837</v>
      </c>
      <c r="M222" s="4" t="s">
        <v>34</v>
      </c>
      <c r="N222" s="4" t="s">
        <v>771</v>
      </c>
    </row>
    <row r="223" spans="1:14" ht="48" x14ac:dyDescent="0.25">
      <c r="A223" s="2" t="s">
        <v>886</v>
      </c>
      <c r="B223" s="3" t="s">
        <v>887</v>
      </c>
      <c r="C223" s="2" t="s">
        <v>66</v>
      </c>
      <c r="D223" s="3"/>
      <c r="E223" s="3" t="s">
        <v>888</v>
      </c>
      <c r="F223" s="3"/>
      <c r="G223" s="4" t="s">
        <v>68</v>
      </c>
      <c r="H223" s="4" t="s">
        <v>68</v>
      </c>
      <c r="I223" s="4" t="str">
        <f>INDEX(Neuanlagen!$C$6:$C$90,MATCH($A223,Neuanlagen!$A$6:$A$90,0))</f>
        <v>41830100</v>
      </c>
      <c r="J223" s="3" t="str">
        <f>INDEX(Neuanlagen!$D$6:$D$90,MATCH($A223,Neuanlagen!$A$6:$A$90,0))</f>
        <v>Umsatzabgabe Werbung innen</v>
      </c>
      <c r="K223" s="3" t="s">
        <v>769</v>
      </c>
      <c r="L223" s="3" t="s">
        <v>889</v>
      </c>
      <c r="M223" s="4" t="s">
        <v>34</v>
      </c>
      <c r="N223" s="4" t="s">
        <v>771</v>
      </c>
    </row>
    <row r="224" spans="1:14" ht="60" x14ac:dyDescent="0.25">
      <c r="A224" s="2" t="s">
        <v>890</v>
      </c>
      <c r="B224" s="3" t="s">
        <v>891</v>
      </c>
      <c r="C224" s="2" t="s">
        <v>892</v>
      </c>
      <c r="D224" s="3" t="s">
        <v>893</v>
      </c>
      <c r="E224" s="3" t="s">
        <v>888</v>
      </c>
      <c r="F224" s="3" t="s">
        <v>41</v>
      </c>
      <c r="G224" s="4" t="s">
        <v>20</v>
      </c>
      <c r="H224" s="4" t="s">
        <v>20</v>
      </c>
      <c r="I224" s="4" t="str">
        <f>INDEX(Neuanlagen!$C$6:$C$90,MATCH($A224,Neuanlagen!$A$6:$A$90,0))</f>
        <v>41830102</v>
      </c>
      <c r="J224" s="3" t="str">
        <f>INDEX(Neuanlagen!$D$6:$D$90,MATCH($A224,Neuanlagen!$A$6:$A$90,0))</f>
        <v>Umsatzabgabe Werbung Sonstiges</v>
      </c>
      <c r="K224" s="3" t="s">
        <v>769</v>
      </c>
      <c r="L224" s="3" t="s">
        <v>894</v>
      </c>
      <c r="M224" s="4" t="s">
        <v>34</v>
      </c>
      <c r="N224" s="4" t="s">
        <v>771</v>
      </c>
    </row>
    <row r="225" spans="1:14" ht="48" x14ac:dyDescent="0.25">
      <c r="A225" s="2" t="s">
        <v>895</v>
      </c>
      <c r="B225" s="3" t="s">
        <v>896</v>
      </c>
      <c r="C225" s="2" t="s">
        <v>66</v>
      </c>
      <c r="D225" s="3"/>
      <c r="E225" s="3" t="s">
        <v>888</v>
      </c>
      <c r="F225" s="3"/>
      <c r="G225" s="4" t="s">
        <v>68</v>
      </c>
      <c r="H225" s="4" t="s">
        <v>68</v>
      </c>
      <c r="I225" s="4" t="str">
        <f>INDEX(Neuanlagen!$C$6:$C$90,MATCH($A225,Neuanlagen!$A$6:$A$90,0))</f>
        <v>41830130</v>
      </c>
      <c r="J225" s="3" t="str">
        <f>INDEX(Neuanlagen!$D$6:$D$90,MATCH($A225,Neuanlagen!$A$6:$A$90,0))</f>
        <v>Umsatzabgabe Verkaufsgeschäfte</v>
      </c>
      <c r="K225" s="3" t="s">
        <v>769</v>
      </c>
      <c r="L225" s="3" t="s">
        <v>889</v>
      </c>
      <c r="M225" s="4" t="s">
        <v>34</v>
      </c>
      <c r="N225" s="4" t="s">
        <v>771</v>
      </c>
    </row>
    <row r="226" spans="1:14" ht="48" x14ac:dyDescent="0.25">
      <c r="A226" s="2" t="s">
        <v>897</v>
      </c>
      <c r="B226" s="3" t="s">
        <v>898</v>
      </c>
      <c r="C226" s="2" t="s">
        <v>66</v>
      </c>
      <c r="D226" s="3"/>
      <c r="E226" s="3" t="s">
        <v>888</v>
      </c>
      <c r="F226" s="3"/>
      <c r="G226" s="4" t="s">
        <v>68</v>
      </c>
      <c r="H226" s="4" t="s">
        <v>68</v>
      </c>
      <c r="I226" s="4" t="str">
        <f>INDEX(Neuanlagen!$C$6:$C$90,MATCH($A226,Neuanlagen!$A$6:$A$90,0))</f>
        <v>41830131</v>
      </c>
      <c r="J226" s="3" t="str">
        <f>INDEX(Neuanlagen!$D$6:$D$90,MATCH($A226,Neuanlagen!$A$6:$A$90,0))</f>
        <v>Umsatzabgabe Gastronomie</v>
      </c>
      <c r="K226" s="3" t="s">
        <v>769</v>
      </c>
      <c r="L226" s="3" t="s">
        <v>889</v>
      </c>
      <c r="M226" s="4" t="s">
        <v>34</v>
      </c>
      <c r="N226" s="4" t="s">
        <v>771</v>
      </c>
    </row>
    <row r="227" spans="1:14" ht="48" x14ac:dyDescent="0.25">
      <c r="A227" s="2" t="s">
        <v>899</v>
      </c>
      <c r="B227" s="3" t="s">
        <v>900</v>
      </c>
      <c r="C227" s="2" t="s">
        <v>66</v>
      </c>
      <c r="D227" s="3"/>
      <c r="E227" s="3" t="s">
        <v>888</v>
      </c>
      <c r="F227" s="3"/>
      <c r="G227" s="4" t="s">
        <v>68</v>
      </c>
      <c r="H227" s="4" t="s">
        <v>68</v>
      </c>
      <c r="I227" s="4" t="str">
        <f>INDEX(Neuanlagen!$C$6:$C$90,MATCH($A227,Neuanlagen!$A$6:$A$90,0))</f>
        <v>41830133</v>
      </c>
      <c r="J227" s="3" t="str">
        <f>INDEX(Neuanlagen!$D$6:$D$90,MATCH($A227,Neuanlagen!$A$6:$A$90,0))</f>
        <v>Umsatzabgabe Reisemarkt</v>
      </c>
      <c r="K227" s="3" t="s">
        <v>769</v>
      </c>
      <c r="L227" s="3" t="s">
        <v>889</v>
      </c>
      <c r="M227" s="4" t="s">
        <v>34</v>
      </c>
      <c r="N227" s="4" t="s">
        <v>771</v>
      </c>
    </row>
    <row r="228" spans="1:14" ht="48" x14ac:dyDescent="0.25">
      <c r="A228" s="2" t="s">
        <v>901</v>
      </c>
      <c r="B228" s="3" t="s">
        <v>902</v>
      </c>
      <c r="C228" s="2" t="s">
        <v>66</v>
      </c>
      <c r="D228" s="3"/>
      <c r="E228" s="3" t="s">
        <v>888</v>
      </c>
      <c r="F228" s="3"/>
      <c r="G228" s="4" t="s">
        <v>68</v>
      </c>
      <c r="H228" s="4" t="s">
        <v>68</v>
      </c>
      <c r="I228" s="4" t="str">
        <f>INDEX(Neuanlagen!$C$6:$C$90,MATCH($A228,Neuanlagen!$A$6:$A$90,0))</f>
        <v>41830134</v>
      </c>
      <c r="J228" s="3" t="str">
        <f>INDEX(Neuanlagen!$D$6:$D$90,MATCH($A228,Neuanlagen!$A$6:$A$90,0))</f>
        <v>Umsatzabgabe DFS/TrValue</v>
      </c>
      <c r="K228" s="3" t="s">
        <v>769</v>
      </c>
      <c r="L228" s="3" t="s">
        <v>889</v>
      </c>
      <c r="M228" s="4" t="s">
        <v>34</v>
      </c>
      <c r="N228" s="4" t="s">
        <v>771</v>
      </c>
    </row>
    <row r="229" spans="1:14" ht="60" x14ac:dyDescent="0.25">
      <c r="A229" s="2" t="s">
        <v>903</v>
      </c>
      <c r="B229" s="3" t="s">
        <v>904</v>
      </c>
      <c r="C229" s="2" t="s">
        <v>905</v>
      </c>
      <c r="D229" s="3" t="s">
        <v>906</v>
      </c>
      <c r="E229" s="3" t="s">
        <v>888</v>
      </c>
      <c r="F229" s="3" t="s">
        <v>171</v>
      </c>
      <c r="G229" s="4" t="s">
        <v>20</v>
      </c>
      <c r="H229" s="4" t="s">
        <v>20</v>
      </c>
      <c r="I229" s="4" t="str">
        <f>INDEX(Neuanlagen!$C$6:$C$90,MATCH($A229,Neuanlagen!$A$6:$A$90,0))</f>
        <v>41830159</v>
      </c>
      <c r="J229" s="3" t="str">
        <f>INDEX(Neuanlagen!$D$6:$D$90,MATCH($A229,Neuanlagen!$A$6:$A$90,0))</f>
        <v>Umsatzabgabe Sonstiges CO</v>
      </c>
      <c r="K229" s="3" t="s">
        <v>769</v>
      </c>
      <c r="L229" s="3" t="s">
        <v>907</v>
      </c>
      <c r="M229" s="4" t="s">
        <v>34</v>
      </c>
      <c r="N229" s="4" t="s">
        <v>771</v>
      </c>
    </row>
    <row r="230" spans="1:14" ht="60" x14ac:dyDescent="0.25">
      <c r="A230" s="2" t="s">
        <v>908</v>
      </c>
      <c r="B230" s="3" t="s">
        <v>909</v>
      </c>
      <c r="C230" s="2" t="s">
        <v>910</v>
      </c>
      <c r="D230" s="3" t="s">
        <v>911</v>
      </c>
      <c r="E230" s="3" t="s">
        <v>888</v>
      </c>
      <c r="F230" s="3" t="s">
        <v>41</v>
      </c>
      <c r="G230" s="4" t="s">
        <v>20</v>
      </c>
      <c r="H230" s="4" t="s">
        <v>20</v>
      </c>
      <c r="I230" s="4" t="str">
        <f>INDEX(Neuanlagen!$C$6:$C$90,MATCH($A230,Neuanlagen!$A$6:$A$90,0))</f>
        <v>41830161</v>
      </c>
      <c r="J230" s="3" t="str">
        <f>INDEX(Neuanlagen!$D$6:$D$90,MATCH($A230,Neuanlagen!$A$6:$A$90,0))</f>
        <v>Umsatzabgabe Autovermieter</v>
      </c>
      <c r="K230" s="3" t="s">
        <v>769</v>
      </c>
      <c r="L230" s="3" t="s">
        <v>912</v>
      </c>
      <c r="M230" s="4" t="s">
        <v>34</v>
      </c>
      <c r="N230" s="4" t="s">
        <v>771</v>
      </c>
    </row>
    <row r="231" spans="1:14" ht="48" x14ac:dyDescent="0.25">
      <c r="A231" s="2" t="s">
        <v>913</v>
      </c>
      <c r="B231" s="3" t="s">
        <v>914</v>
      </c>
      <c r="C231" s="2" t="s">
        <v>66</v>
      </c>
      <c r="D231" s="3"/>
      <c r="E231" s="3" t="s">
        <v>888</v>
      </c>
      <c r="F231" s="3"/>
      <c r="G231" s="4" t="s">
        <v>68</v>
      </c>
      <c r="H231" s="4" t="s">
        <v>68</v>
      </c>
      <c r="I231" s="4" t="str">
        <f>INDEX(Neuanlagen!$C$6:$C$90,MATCH($A231,Neuanlagen!$A$6:$A$90,0))</f>
        <v>41830164</v>
      </c>
      <c r="J231" s="3" t="str">
        <f>INDEX(Neuanlagen!$D$6:$D$90,MATCH($A231,Neuanlagen!$A$6:$A$90,0))</f>
        <v>Umsatzabgabe Vermietung</v>
      </c>
      <c r="K231" s="3" t="s">
        <v>769</v>
      </c>
      <c r="L231" s="3" t="s">
        <v>889</v>
      </c>
      <c r="M231" s="4" t="s">
        <v>34</v>
      </c>
      <c r="N231" s="4" t="s">
        <v>771</v>
      </c>
    </row>
    <row r="232" spans="1:14" ht="60" x14ac:dyDescent="0.25">
      <c r="A232" s="2" t="s">
        <v>915</v>
      </c>
      <c r="B232" s="3" t="s">
        <v>916</v>
      </c>
      <c r="C232" s="2" t="s">
        <v>842</v>
      </c>
      <c r="D232" s="3" t="s">
        <v>843</v>
      </c>
      <c r="E232" s="3" t="s">
        <v>888</v>
      </c>
      <c r="F232" s="3" t="s">
        <v>844</v>
      </c>
      <c r="G232" s="4" t="s">
        <v>20</v>
      </c>
      <c r="H232" s="4" t="s">
        <v>32</v>
      </c>
      <c r="I232" s="4" t="str">
        <f>INDEX(Neuanlagen!$C$6:$C$90,MATCH($A232,Neuanlagen!$A$6:$A$90,0))</f>
        <v>41830166</v>
      </c>
      <c r="J232" s="3" t="str">
        <f>INDEX(Neuanlagen!$D$6:$D$90,MATCH($A232,Neuanlagen!$A$6:$A$90,0))</f>
        <v>Umsatzabgabe Hotel</v>
      </c>
      <c r="K232" s="3" t="s">
        <v>769</v>
      </c>
      <c r="L232" s="3" t="s">
        <v>917</v>
      </c>
      <c r="M232" s="4" t="s">
        <v>34</v>
      </c>
      <c r="N232" s="4" t="s">
        <v>771</v>
      </c>
    </row>
    <row r="233" spans="1:14" ht="48" x14ac:dyDescent="0.25">
      <c r="A233" s="2" t="s">
        <v>918</v>
      </c>
      <c r="B233" s="3" t="s">
        <v>919</v>
      </c>
      <c r="C233" s="2" t="s">
        <v>66</v>
      </c>
      <c r="D233" s="3"/>
      <c r="E233" s="3" t="s">
        <v>888</v>
      </c>
      <c r="F233" s="3"/>
      <c r="G233" s="4" t="s">
        <v>68</v>
      </c>
      <c r="H233" s="4" t="s">
        <v>68</v>
      </c>
      <c r="I233" s="4" t="str">
        <f>INDEX(Neuanlagen!$C$6:$C$90,MATCH($A233,Neuanlagen!$A$6:$A$90,0))</f>
        <v>41830167</v>
      </c>
      <c r="J233" s="3" t="str">
        <f>INDEX(Neuanlagen!$D$6:$D$90,MATCH($A233,Neuanlagen!$A$6:$A$90,0))</f>
        <v>Umsatzabgabe Telekommunikation</v>
      </c>
      <c r="K233" s="3" t="s">
        <v>769</v>
      </c>
      <c r="L233" s="3" t="s">
        <v>889</v>
      </c>
      <c r="M233" s="4" t="s">
        <v>34</v>
      </c>
      <c r="N233" s="4" t="s">
        <v>771</v>
      </c>
    </row>
    <row r="234" spans="1:14" ht="60" x14ac:dyDescent="0.25">
      <c r="A234" s="2" t="s">
        <v>920</v>
      </c>
      <c r="B234" s="3" t="s">
        <v>921</v>
      </c>
      <c r="C234" s="2" t="s">
        <v>922</v>
      </c>
      <c r="D234" s="3" t="s">
        <v>923</v>
      </c>
      <c r="E234" s="3" t="s">
        <v>888</v>
      </c>
      <c r="F234" s="3" t="s">
        <v>41</v>
      </c>
      <c r="G234" s="4" t="s">
        <v>20</v>
      </c>
      <c r="H234" s="4" t="s">
        <v>20</v>
      </c>
      <c r="I234" s="4" t="str">
        <f>INDEX(Neuanlagen!$C$6:$C$90,MATCH($A234,Neuanlagen!$A$6:$A$90,0))</f>
        <v>41830189</v>
      </c>
      <c r="J234" s="3" t="str">
        <f>INDEX(Neuanlagen!$D$6:$D$90,MATCH($A234,Neuanlagen!$A$6:$A$90,0))</f>
        <v>Umsatzabgabe Sonstiges IM</v>
      </c>
      <c r="K234" s="3" t="s">
        <v>769</v>
      </c>
      <c r="L234" s="3" t="s">
        <v>924</v>
      </c>
      <c r="M234" s="4" t="s">
        <v>34</v>
      </c>
      <c r="N234" s="4" t="s">
        <v>771</v>
      </c>
    </row>
    <row r="235" spans="1:14" ht="96" x14ac:dyDescent="0.25">
      <c r="A235" s="2" t="s">
        <v>925</v>
      </c>
      <c r="B235" s="3" t="s">
        <v>926</v>
      </c>
      <c r="C235" s="2" t="s">
        <v>834</v>
      </c>
      <c r="D235" s="3" t="s">
        <v>835</v>
      </c>
      <c r="E235" s="3" t="s">
        <v>927</v>
      </c>
      <c r="F235" s="3" t="s">
        <v>499</v>
      </c>
      <c r="G235" s="4" t="s">
        <v>20</v>
      </c>
      <c r="H235" s="4" t="s">
        <v>20</v>
      </c>
      <c r="I235" s="4" t="str">
        <f>INDEX(Neuanlagen!$C$6:$C$90,MATCH($A235,Neuanlagen!$A$6:$A$90,0))</f>
        <v>41840000</v>
      </c>
      <c r="J235" s="3" t="str">
        <f>INDEX(Neuanlagen!$D$6:$D$90,MATCH($A235,Neuanlagen!$A$6:$A$90,0))</f>
        <v>Erlöse aus Strom</v>
      </c>
      <c r="K235" s="3" t="s">
        <v>769</v>
      </c>
      <c r="L235" s="3" t="s">
        <v>928</v>
      </c>
      <c r="M235" s="4" t="s">
        <v>34</v>
      </c>
      <c r="N235" s="4" t="s">
        <v>771</v>
      </c>
    </row>
    <row r="236" spans="1:14" ht="96" x14ac:dyDescent="0.25">
      <c r="A236" s="2" t="s">
        <v>929</v>
      </c>
      <c r="B236" s="3" t="s">
        <v>930</v>
      </c>
      <c r="C236" s="2" t="s">
        <v>834</v>
      </c>
      <c r="D236" s="3" t="s">
        <v>835</v>
      </c>
      <c r="E236" s="3" t="s">
        <v>927</v>
      </c>
      <c r="F236" s="3" t="s">
        <v>499</v>
      </c>
      <c r="G236" s="4" t="s">
        <v>20</v>
      </c>
      <c r="H236" s="4" t="s">
        <v>20</v>
      </c>
      <c r="I236" s="4" t="str">
        <f>INDEX(Neuanlagen!$C$6:$C$90,MATCH($A236,Neuanlagen!$A$6:$A$90,0))</f>
        <v>41840001</v>
      </c>
      <c r="J236" s="3" t="str">
        <f>INDEX(Neuanlagen!$D$6:$D$90,MATCH($A236,Neuanlagen!$A$6:$A$90,0))</f>
        <v>Erlöse aus Batterieladesäule Strom</v>
      </c>
      <c r="K236" s="3" t="s">
        <v>769</v>
      </c>
      <c r="L236" s="3" t="s">
        <v>928</v>
      </c>
      <c r="M236" s="4" t="s">
        <v>34</v>
      </c>
      <c r="N236" s="4" t="s">
        <v>771</v>
      </c>
    </row>
    <row r="237" spans="1:14" ht="96" x14ac:dyDescent="0.25">
      <c r="A237" s="2" t="s">
        <v>931</v>
      </c>
      <c r="B237" s="3" t="s">
        <v>932</v>
      </c>
      <c r="C237" s="2" t="s">
        <v>834</v>
      </c>
      <c r="D237" s="3" t="s">
        <v>835</v>
      </c>
      <c r="E237" s="3" t="s">
        <v>927</v>
      </c>
      <c r="F237" s="3" t="s">
        <v>499</v>
      </c>
      <c r="G237" s="4" t="s">
        <v>20</v>
      </c>
      <c r="H237" s="4" t="s">
        <v>20</v>
      </c>
      <c r="I237" s="4" t="str">
        <f>INDEX(Neuanlagen!$C$6:$C$90,MATCH($A237,Neuanlagen!$A$6:$A$90,0))</f>
        <v>41840004</v>
      </c>
      <c r="J237" s="3" t="str">
        <f>INDEX(Neuanlagen!$D$6:$D$90,MATCH($A237,Neuanlagen!$A$6:$A$90,0))</f>
        <v>Erlöse aus Strom EEG/KWK (Photovoltaikanl.+BHKW2 )</v>
      </c>
      <c r="K237" s="3" t="s">
        <v>769</v>
      </c>
      <c r="L237" s="3" t="s">
        <v>928</v>
      </c>
      <c r="M237" s="4" t="s">
        <v>34</v>
      </c>
      <c r="N237" s="4" t="s">
        <v>771</v>
      </c>
    </row>
    <row r="238" spans="1:14" ht="96" x14ac:dyDescent="0.25">
      <c r="A238" s="2" t="s">
        <v>933</v>
      </c>
      <c r="B238" s="3" t="s">
        <v>934</v>
      </c>
      <c r="C238" s="2" t="s">
        <v>834</v>
      </c>
      <c r="D238" s="3" t="s">
        <v>835</v>
      </c>
      <c r="E238" s="3" t="s">
        <v>927</v>
      </c>
      <c r="F238" s="3" t="s">
        <v>499</v>
      </c>
      <c r="G238" s="4" t="s">
        <v>20</v>
      </c>
      <c r="H238" s="4" t="s">
        <v>20</v>
      </c>
      <c r="I238" s="4" t="str">
        <f>INDEX(Neuanlagen!$C$6:$C$90,MATCH($A238,Neuanlagen!$A$6:$A$90,0))</f>
        <v>41840031</v>
      </c>
      <c r="J238" s="3" t="str">
        <f>INDEX(Neuanlagen!$D$6:$D$90,MATCH($A238,Neuanlagen!$A$6:$A$90,0))</f>
        <v>Erlöse aus Netzentgelt (Arbeit)</v>
      </c>
      <c r="K238" s="3" t="s">
        <v>769</v>
      </c>
      <c r="L238" s="3" t="s">
        <v>928</v>
      </c>
      <c r="M238" s="4" t="s">
        <v>34</v>
      </c>
      <c r="N238" s="4" t="s">
        <v>771</v>
      </c>
    </row>
    <row r="239" spans="1:14" ht="96" x14ac:dyDescent="0.25">
      <c r="A239" s="2" t="s">
        <v>935</v>
      </c>
      <c r="B239" s="3" t="s">
        <v>936</v>
      </c>
      <c r="C239" s="2" t="s">
        <v>834</v>
      </c>
      <c r="D239" s="3" t="s">
        <v>835</v>
      </c>
      <c r="E239" s="3" t="s">
        <v>927</v>
      </c>
      <c r="F239" s="3" t="s">
        <v>499</v>
      </c>
      <c r="G239" s="4" t="s">
        <v>20</v>
      </c>
      <c r="H239" s="4" t="s">
        <v>20</v>
      </c>
      <c r="I239" s="4" t="str">
        <f>INDEX(Neuanlagen!$C$6:$C$90,MATCH($A239,Neuanlagen!$A$6:$A$90,0))</f>
        <v>41840032</v>
      </c>
      <c r="J239" s="3" t="str">
        <f>INDEX(Neuanlagen!$D$6:$D$90,MATCH($A239,Neuanlagen!$A$6:$A$90,0))</f>
        <v>Erlöse aus Netzentgelt (Konzessionsabgaben)</v>
      </c>
      <c r="K239" s="3" t="s">
        <v>769</v>
      </c>
      <c r="L239" s="3" t="s">
        <v>928</v>
      </c>
      <c r="M239" s="4" t="s">
        <v>34</v>
      </c>
      <c r="N239" s="4" t="s">
        <v>771</v>
      </c>
    </row>
    <row r="240" spans="1:14" ht="96" x14ac:dyDescent="0.25">
      <c r="A240" s="2" t="s">
        <v>937</v>
      </c>
      <c r="B240" s="3" t="s">
        <v>938</v>
      </c>
      <c r="C240" s="2" t="s">
        <v>834</v>
      </c>
      <c r="D240" s="3" t="s">
        <v>835</v>
      </c>
      <c r="E240" s="3" t="s">
        <v>927</v>
      </c>
      <c r="F240" s="3" t="s">
        <v>499</v>
      </c>
      <c r="G240" s="4" t="s">
        <v>20</v>
      </c>
      <c r="H240" s="4" t="s">
        <v>20</v>
      </c>
      <c r="I240" s="4" t="str">
        <f>INDEX(Neuanlagen!$C$6:$C$90,MATCH($A240,Neuanlagen!$A$6:$A$90,0))</f>
        <v>41840033</v>
      </c>
      <c r="J240" s="3" t="str">
        <f>INDEX(Neuanlagen!$D$6:$D$90,MATCH($A240,Neuanlagen!$A$6:$A$90,0))</f>
        <v>Erlöse aus Netzentgelt (Leistung)</v>
      </c>
      <c r="K240" s="3" t="s">
        <v>769</v>
      </c>
      <c r="L240" s="3" t="s">
        <v>928</v>
      </c>
      <c r="M240" s="4" t="s">
        <v>34</v>
      </c>
      <c r="N240" s="4" t="s">
        <v>771</v>
      </c>
    </row>
    <row r="241" spans="1:14" ht="96" x14ac:dyDescent="0.25">
      <c r="A241" s="2" t="s">
        <v>939</v>
      </c>
      <c r="B241" s="3" t="s">
        <v>940</v>
      </c>
      <c r="C241" s="2" t="s">
        <v>834</v>
      </c>
      <c r="D241" s="3" t="s">
        <v>835</v>
      </c>
      <c r="E241" s="3" t="s">
        <v>927</v>
      </c>
      <c r="F241" s="3" t="s">
        <v>499</v>
      </c>
      <c r="G241" s="4" t="s">
        <v>20</v>
      </c>
      <c r="H241" s="4" t="s">
        <v>20</v>
      </c>
      <c r="I241" s="4" t="str">
        <f>INDEX(Neuanlagen!$C$6:$C$90,MATCH($A241,Neuanlagen!$A$6:$A$90,0))</f>
        <v>41840034</v>
      </c>
      <c r="J241" s="3" t="str">
        <f>INDEX(Neuanlagen!$D$6:$D$90,MATCH($A241,Neuanlagen!$A$6:$A$90,0))</f>
        <v>Erlöse aus Netzentgelt (KWK)</v>
      </c>
      <c r="K241" s="3" t="s">
        <v>769</v>
      </c>
      <c r="L241" s="3" t="s">
        <v>928</v>
      </c>
      <c r="M241" s="4" t="s">
        <v>34</v>
      </c>
      <c r="N241" s="4" t="s">
        <v>771</v>
      </c>
    </row>
    <row r="242" spans="1:14" ht="96" x14ac:dyDescent="0.25">
      <c r="A242" s="2" t="s">
        <v>941</v>
      </c>
      <c r="B242" s="3" t="s">
        <v>942</v>
      </c>
      <c r="C242" s="2" t="s">
        <v>834</v>
      </c>
      <c r="D242" s="3" t="s">
        <v>835</v>
      </c>
      <c r="E242" s="3" t="s">
        <v>927</v>
      </c>
      <c r="F242" s="3" t="s">
        <v>499</v>
      </c>
      <c r="G242" s="4" t="s">
        <v>20</v>
      </c>
      <c r="H242" s="4" t="s">
        <v>20</v>
      </c>
      <c r="I242" s="4" t="str">
        <f>INDEX(Neuanlagen!$C$6:$C$90,MATCH($A242,Neuanlagen!$A$6:$A$90,0))</f>
        <v>41840035</v>
      </c>
      <c r="J242" s="3" t="str">
        <f>INDEX(Neuanlagen!$D$6:$D$90,MATCH($A242,Neuanlagen!$A$6:$A$90,0))</f>
        <v>Erlöse aus Netzentgelt (Uml §17)</v>
      </c>
      <c r="K242" s="3" t="s">
        <v>769</v>
      </c>
      <c r="L242" s="3" t="s">
        <v>928</v>
      </c>
      <c r="M242" s="4" t="s">
        <v>34</v>
      </c>
      <c r="N242" s="4" t="s">
        <v>771</v>
      </c>
    </row>
    <row r="243" spans="1:14" ht="96" x14ac:dyDescent="0.25">
      <c r="A243" s="2" t="s">
        <v>943</v>
      </c>
      <c r="B243" s="3" t="s">
        <v>944</v>
      </c>
      <c r="C243" s="2" t="s">
        <v>834</v>
      </c>
      <c r="D243" s="3" t="s">
        <v>835</v>
      </c>
      <c r="E243" s="3" t="s">
        <v>927</v>
      </c>
      <c r="F243" s="3" t="s">
        <v>499</v>
      </c>
      <c r="G243" s="4" t="s">
        <v>20</v>
      </c>
      <c r="H243" s="4" t="s">
        <v>20</v>
      </c>
      <c r="I243" s="4" t="str">
        <f>INDEX(Neuanlagen!$C$6:$C$90,MATCH($A243,Neuanlagen!$A$6:$A$90,0))</f>
        <v>41840037</v>
      </c>
      <c r="J243" s="3" t="str">
        <f>INDEX(Neuanlagen!$D$6:$D$90,MATCH($A243,Neuanlagen!$A$6:$A$90,0))</f>
        <v>Erlöse aus Netzentgelt (Uml §19)</v>
      </c>
      <c r="K243" s="3" t="s">
        <v>769</v>
      </c>
      <c r="L243" s="3" t="s">
        <v>928</v>
      </c>
      <c r="M243" s="4" t="s">
        <v>34</v>
      </c>
      <c r="N243" s="4" t="s">
        <v>771</v>
      </c>
    </row>
    <row r="244" spans="1:14" ht="96" x14ac:dyDescent="0.25">
      <c r="A244" s="2" t="s">
        <v>945</v>
      </c>
      <c r="B244" s="3" t="s">
        <v>946</v>
      </c>
      <c r="C244" s="2" t="s">
        <v>834</v>
      </c>
      <c r="D244" s="3" t="s">
        <v>835</v>
      </c>
      <c r="E244" s="3" t="s">
        <v>927</v>
      </c>
      <c r="F244" s="3" t="s">
        <v>499</v>
      </c>
      <c r="G244" s="4" t="s">
        <v>20</v>
      </c>
      <c r="H244" s="4" t="s">
        <v>20</v>
      </c>
      <c r="I244" s="4" t="str">
        <f>INDEX(Neuanlagen!$C$6:$C$90,MATCH($A244,Neuanlagen!$A$6:$A$90,0))</f>
        <v>41840101</v>
      </c>
      <c r="J244" s="3" t="str">
        <f>INDEX(Neuanlagen!$D$6:$D$90,MATCH($A244,Neuanlagen!$A$6:$A$90,0))</f>
        <v>Erlöse aus Strom Umlagen u. Abgaben</v>
      </c>
      <c r="K244" s="3" t="s">
        <v>769</v>
      </c>
      <c r="L244" s="3" t="s">
        <v>928</v>
      </c>
      <c r="M244" s="4" t="s">
        <v>34</v>
      </c>
      <c r="N244" s="4" t="s">
        <v>771</v>
      </c>
    </row>
    <row r="245" spans="1:14" ht="96" x14ac:dyDescent="0.25">
      <c r="A245" s="2" t="s">
        <v>947</v>
      </c>
      <c r="B245" s="3" t="s">
        <v>948</v>
      </c>
      <c r="C245" s="2" t="s">
        <v>834</v>
      </c>
      <c r="D245" s="3" t="s">
        <v>835</v>
      </c>
      <c r="E245" s="3" t="s">
        <v>927</v>
      </c>
      <c r="F245" s="3" t="s">
        <v>499</v>
      </c>
      <c r="G245" s="4" t="s">
        <v>20</v>
      </c>
      <c r="H245" s="4" t="s">
        <v>20</v>
      </c>
      <c r="I245" s="4" t="str">
        <f>INDEX(Neuanlagen!$C$6:$C$90,MATCH($A245,Neuanlagen!$A$6:$A$90,0))</f>
        <v>41840102</v>
      </c>
      <c r="J245" s="3" t="str">
        <f>INDEX(Neuanlagen!$D$6:$D$90,MATCH($A245,Neuanlagen!$A$6:$A$90,0))</f>
        <v>Erlöse aus Strom Messkosten</v>
      </c>
      <c r="K245" s="3" t="s">
        <v>769</v>
      </c>
      <c r="L245" s="3" t="s">
        <v>928</v>
      </c>
      <c r="M245" s="4" t="s">
        <v>34</v>
      </c>
      <c r="N245" s="4" t="s">
        <v>771</v>
      </c>
    </row>
    <row r="246" spans="1:14" ht="108" x14ac:dyDescent="0.25">
      <c r="A246" s="2" t="s">
        <v>949</v>
      </c>
      <c r="B246" s="3" t="s">
        <v>950</v>
      </c>
      <c r="C246" s="2" t="s">
        <v>951</v>
      </c>
      <c r="D246" s="3" t="s">
        <v>952</v>
      </c>
      <c r="E246" s="3" t="s">
        <v>927</v>
      </c>
      <c r="F246" s="3" t="s">
        <v>499</v>
      </c>
      <c r="G246" s="4" t="s">
        <v>20</v>
      </c>
      <c r="H246" s="4" t="s">
        <v>20</v>
      </c>
      <c r="I246" s="4" t="str">
        <f>INDEX(Neuanlagen!$C$6:$C$90,MATCH($A246,Neuanlagen!$A$6:$A$90,0))</f>
        <v>41840200</v>
      </c>
      <c r="J246" s="3" t="str">
        <f>INDEX(Neuanlagen!$D$6:$D$90,MATCH($A246,Neuanlagen!$A$6:$A$90,0))</f>
        <v>Mietnebenkosten Strom</v>
      </c>
      <c r="K246" s="3" t="s">
        <v>769</v>
      </c>
      <c r="L246" s="3" t="s">
        <v>953</v>
      </c>
      <c r="M246" s="4" t="s">
        <v>34</v>
      </c>
      <c r="N246" s="4" t="s">
        <v>771</v>
      </c>
    </row>
    <row r="247" spans="1:14" ht="96" x14ac:dyDescent="0.25">
      <c r="A247" s="2" t="s">
        <v>954</v>
      </c>
      <c r="B247" s="3" t="s">
        <v>955</v>
      </c>
      <c r="C247" s="2" t="s">
        <v>66</v>
      </c>
      <c r="D247" s="3"/>
      <c r="E247" s="3" t="s">
        <v>927</v>
      </c>
      <c r="F247" s="3"/>
      <c r="G247" s="4" t="s">
        <v>68</v>
      </c>
      <c r="H247" s="4" t="s">
        <v>68</v>
      </c>
      <c r="I247" s="4" t="str">
        <f>INDEX(Neuanlagen!$C$6:$C$90,MATCH($A247,Neuanlagen!$A$6:$A$90,0))</f>
        <v>41840201</v>
      </c>
      <c r="J247" s="3" t="str">
        <f>INDEX(Neuanlagen!$D$6:$D$90,MATCH($A247,Neuanlagen!$A$6:$A$90,0))</f>
        <v>Mietnebenkosten Heizung</v>
      </c>
      <c r="K247" s="3" t="s">
        <v>769</v>
      </c>
      <c r="L247" s="3" t="s">
        <v>956</v>
      </c>
      <c r="M247" s="4" t="s">
        <v>34</v>
      </c>
      <c r="N247" s="4" t="s">
        <v>771</v>
      </c>
    </row>
    <row r="248" spans="1:14" ht="96" x14ac:dyDescent="0.25">
      <c r="A248" s="2" t="s">
        <v>957</v>
      </c>
      <c r="B248" s="3" t="s">
        <v>958</v>
      </c>
      <c r="C248" s="2" t="s">
        <v>66</v>
      </c>
      <c r="D248" s="3"/>
      <c r="E248" s="3" t="s">
        <v>927</v>
      </c>
      <c r="F248" s="3"/>
      <c r="G248" s="4" t="s">
        <v>68</v>
      </c>
      <c r="H248" s="4" t="s">
        <v>68</v>
      </c>
      <c r="I248" s="4" t="str">
        <f>INDEX(Neuanlagen!$C$6:$C$90,MATCH($A248,Neuanlagen!$A$6:$A$90,0))</f>
        <v>41840202</v>
      </c>
      <c r="J248" s="3" t="str">
        <f>INDEX(Neuanlagen!$D$6:$D$90,MATCH($A248,Neuanlagen!$A$6:$A$90,0))</f>
        <v>Mietnebenkosten Klima</v>
      </c>
      <c r="K248" s="3" t="s">
        <v>769</v>
      </c>
      <c r="L248" s="3" t="s">
        <v>956</v>
      </c>
      <c r="M248" s="4" t="s">
        <v>34</v>
      </c>
      <c r="N248" s="4" t="s">
        <v>771</v>
      </c>
    </row>
    <row r="249" spans="1:14" ht="96" x14ac:dyDescent="0.25">
      <c r="A249" s="2" t="s">
        <v>959</v>
      </c>
      <c r="B249" s="3" t="s">
        <v>960</v>
      </c>
      <c r="C249" s="2" t="s">
        <v>66</v>
      </c>
      <c r="D249" s="3"/>
      <c r="E249" s="3" t="s">
        <v>927</v>
      </c>
      <c r="F249" s="3"/>
      <c r="G249" s="4" t="s">
        <v>68</v>
      </c>
      <c r="H249" s="4" t="s">
        <v>68</v>
      </c>
      <c r="I249" s="4" t="str">
        <f>INDEX(Neuanlagen!$C$6:$C$90,MATCH($A249,Neuanlagen!$A$6:$A$90,0))</f>
        <v>41840203</v>
      </c>
      <c r="J249" s="3" t="str">
        <f>INDEX(Neuanlagen!$D$6:$D$90,MATCH($A249,Neuanlagen!$A$6:$A$90,0))</f>
        <v>Mietnebenkosten Lüftung</v>
      </c>
      <c r="K249" s="3" t="s">
        <v>769</v>
      </c>
      <c r="L249" s="3" t="s">
        <v>956</v>
      </c>
      <c r="M249" s="4" t="s">
        <v>34</v>
      </c>
      <c r="N249" s="4" t="s">
        <v>771</v>
      </c>
    </row>
    <row r="250" spans="1:14" ht="96" x14ac:dyDescent="0.25">
      <c r="A250" s="2" t="s">
        <v>961</v>
      </c>
      <c r="B250" s="3" t="s">
        <v>962</v>
      </c>
      <c r="C250" s="2" t="s">
        <v>66</v>
      </c>
      <c r="D250" s="3"/>
      <c r="E250" s="3" t="s">
        <v>927</v>
      </c>
      <c r="F250" s="3"/>
      <c r="G250" s="4" t="s">
        <v>68</v>
      </c>
      <c r="H250" s="4" t="s">
        <v>68</v>
      </c>
      <c r="I250" s="4" t="str">
        <f>INDEX(Neuanlagen!$C$6:$C$90,MATCH($A250,Neuanlagen!$A$6:$A$90,0))</f>
        <v>41840204</v>
      </c>
      <c r="J250" s="3" t="str">
        <f>INDEX(Neuanlagen!$D$6:$D$90,MATCH($A250,Neuanlagen!$A$6:$A$90,0))</f>
        <v>Mietnebenkosten Wasser /Abwasser kalt</v>
      </c>
      <c r="K250" s="3" t="s">
        <v>769</v>
      </c>
      <c r="L250" s="3" t="s">
        <v>956</v>
      </c>
      <c r="M250" s="4" t="s">
        <v>34</v>
      </c>
      <c r="N250" s="4" t="s">
        <v>771</v>
      </c>
    </row>
    <row r="251" spans="1:14" ht="96" x14ac:dyDescent="0.25">
      <c r="A251" s="2" t="s">
        <v>963</v>
      </c>
      <c r="B251" s="3" t="s">
        <v>964</v>
      </c>
      <c r="C251" s="2" t="s">
        <v>66</v>
      </c>
      <c r="D251" s="3"/>
      <c r="E251" s="3" t="s">
        <v>927</v>
      </c>
      <c r="F251" s="3"/>
      <c r="G251" s="4" t="s">
        <v>68</v>
      </c>
      <c r="H251" s="4" t="s">
        <v>68</v>
      </c>
      <c r="I251" s="4" t="str">
        <f>INDEX(Neuanlagen!$C$6:$C$90,MATCH($A251,Neuanlagen!$A$6:$A$90,0))</f>
        <v>41840205</v>
      </c>
      <c r="J251" s="3" t="str">
        <f>INDEX(Neuanlagen!$D$6:$D$90,MATCH($A251,Neuanlagen!$A$6:$A$90,0))</f>
        <v>Mietnebenkosten Wasser /Abwasser warm</v>
      </c>
      <c r="K251" s="3" t="s">
        <v>769</v>
      </c>
      <c r="L251" s="3" t="s">
        <v>956</v>
      </c>
      <c r="M251" s="4" t="s">
        <v>34</v>
      </c>
      <c r="N251" s="4" t="s">
        <v>771</v>
      </c>
    </row>
    <row r="252" spans="1:14" ht="96" x14ac:dyDescent="0.25">
      <c r="A252" s="2" t="s">
        <v>965</v>
      </c>
      <c r="B252" s="3" t="s">
        <v>966</v>
      </c>
      <c r="C252" s="2" t="s">
        <v>66</v>
      </c>
      <c r="D252" s="3"/>
      <c r="E252" s="3" t="s">
        <v>927</v>
      </c>
      <c r="F252" s="3"/>
      <c r="G252" s="4" t="s">
        <v>68</v>
      </c>
      <c r="H252" s="4" t="s">
        <v>68</v>
      </c>
      <c r="I252" s="4" t="str">
        <f>INDEX(Neuanlagen!$C$6:$C$90,MATCH($A252,Neuanlagen!$A$6:$A$90,0))</f>
        <v>41840206</v>
      </c>
      <c r="J252" s="3" t="str">
        <f>INDEX(Neuanlagen!$D$6:$D$90,MATCH($A252,Neuanlagen!$A$6:$A$90,0))</f>
        <v>Mietnebenkosten Pauschalen</v>
      </c>
      <c r="K252" s="3" t="s">
        <v>769</v>
      </c>
      <c r="L252" s="3" t="s">
        <v>956</v>
      </c>
      <c r="M252" s="4" t="s">
        <v>34</v>
      </c>
      <c r="N252" s="4" t="s">
        <v>771</v>
      </c>
    </row>
    <row r="253" spans="1:14" ht="96" x14ac:dyDescent="0.25">
      <c r="A253" s="2" t="s">
        <v>967</v>
      </c>
      <c r="B253" s="3" t="s">
        <v>968</v>
      </c>
      <c r="C253" s="2" t="s">
        <v>834</v>
      </c>
      <c r="D253" s="3" t="s">
        <v>835</v>
      </c>
      <c r="E253" s="3" t="s">
        <v>927</v>
      </c>
      <c r="F253" s="3" t="s">
        <v>499</v>
      </c>
      <c r="G253" s="4" t="s">
        <v>20</v>
      </c>
      <c r="H253" s="4" t="s">
        <v>20</v>
      </c>
      <c r="I253" s="4" t="str">
        <f>INDEX(Neuanlagen!$C$6:$C$90,MATCH($A253,Neuanlagen!$A$6:$A$90,0))</f>
        <v>41841000</v>
      </c>
      <c r="J253" s="3" t="str">
        <f>INDEX(Neuanlagen!$D$6:$D$90,MATCH($A253,Neuanlagen!$A$6:$A$90,0))</f>
        <v>Erlöse aus Wärmeenergie</v>
      </c>
      <c r="K253" s="3" t="s">
        <v>769</v>
      </c>
      <c r="L253" s="3" t="s">
        <v>928</v>
      </c>
      <c r="M253" s="4" t="s">
        <v>34</v>
      </c>
      <c r="N253" s="4" t="s">
        <v>771</v>
      </c>
    </row>
    <row r="254" spans="1:14" ht="96" x14ac:dyDescent="0.25">
      <c r="A254" s="2" t="s">
        <v>969</v>
      </c>
      <c r="B254" s="3" t="s">
        <v>970</v>
      </c>
      <c r="C254" s="2" t="s">
        <v>834</v>
      </c>
      <c r="D254" s="3" t="s">
        <v>835</v>
      </c>
      <c r="E254" s="3" t="s">
        <v>927</v>
      </c>
      <c r="F254" s="3" t="s">
        <v>499</v>
      </c>
      <c r="G254" s="4" t="s">
        <v>20</v>
      </c>
      <c r="H254" s="4" t="s">
        <v>20</v>
      </c>
      <c r="I254" s="4" t="str">
        <f>INDEX(Neuanlagen!$C$6:$C$90,MATCH($A254,Neuanlagen!$A$6:$A$90,0))</f>
        <v>41846000</v>
      </c>
      <c r="J254" s="3" t="str">
        <f>INDEX(Neuanlagen!$D$6:$D$90,MATCH($A254,Neuanlagen!$A$6:$A$90,0))</f>
        <v>Erlöse aus Versorg.Leist. VIDEO/FLUGINFO/ELA-ANL.</v>
      </c>
      <c r="K254" s="3" t="s">
        <v>769</v>
      </c>
      <c r="L254" s="3" t="s">
        <v>928</v>
      </c>
      <c r="M254" s="4" t="s">
        <v>34</v>
      </c>
      <c r="N254" s="4" t="s">
        <v>771</v>
      </c>
    </row>
    <row r="255" spans="1:14" ht="48" x14ac:dyDescent="0.25">
      <c r="A255" s="2" t="s">
        <v>971</v>
      </c>
      <c r="B255" s="3" t="s">
        <v>972</v>
      </c>
      <c r="C255" s="2" t="s">
        <v>66</v>
      </c>
      <c r="D255" s="3"/>
      <c r="E255" s="3" t="s">
        <v>973</v>
      </c>
      <c r="F255" s="3"/>
      <c r="G255" s="4" t="s">
        <v>68</v>
      </c>
      <c r="H255" s="4" t="s">
        <v>68</v>
      </c>
      <c r="I255" s="4" t="str">
        <f>INDEX(Neuanlagen!$C$6:$C$90,MATCH($A255,Neuanlagen!$A$6:$A$90,0))</f>
        <v>41813051</v>
      </c>
      <c r="J255" s="3" t="str">
        <f>INDEX(Neuanlagen!$D$6:$D$90,MATCH($A255,Neuanlagen!$A$6:$A$90,0))</f>
        <v>Nutzungsentgelt FDG-Lounges</v>
      </c>
      <c r="K255" s="3" t="s">
        <v>769</v>
      </c>
      <c r="L255" s="3" t="s">
        <v>974</v>
      </c>
      <c r="M255" s="4" t="s">
        <v>34</v>
      </c>
      <c r="N255" s="4" t="s">
        <v>771</v>
      </c>
    </row>
    <row r="256" spans="1:14" ht="60" x14ac:dyDescent="0.25">
      <c r="A256" s="2" t="s">
        <v>975</v>
      </c>
      <c r="B256" s="3" t="s">
        <v>976</v>
      </c>
      <c r="C256" s="2" t="s">
        <v>834</v>
      </c>
      <c r="D256" s="3" t="s">
        <v>835</v>
      </c>
      <c r="E256" s="3" t="s">
        <v>973</v>
      </c>
      <c r="F256" s="3" t="s">
        <v>499</v>
      </c>
      <c r="G256" s="4" t="s">
        <v>32</v>
      </c>
      <c r="H256" s="4" t="s">
        <v>20</v>
      </c>
      <c r="I256" s="4" t="str">
        <f>INDEX(Neuanlagen!$C$6:$C$90,MATCH($A256,Neuanlagen!$A$6:$A$90,0))</f>
        <v>41863000</v>
      </c>
      <c r="J256" s="3" t="str">
        <f>INDEX(Neuanlagen!$D$6:$D$90,MATCH($A256,Neuanlagen!$A$6:$A$90,0))</f>
        <v>Erlöse aus Leistungen Werkstätten</v>
      </c>
      <c r="K256" s="3" t="s">
        <v>769</v>
      </c>
      <c r="L256" s="3" t="s">
        <v>977</v>
      </c>
      <c r="M256" s="4" t="s">
        <v>25</v>
      </c>
      <c r="N256" s="4" t="s">
        <v>771</v>
      </c>
    </row>
    <row r="257" spans="1:14" ht="24" x14ac:dyDescent="0.25">
      <c r="A257" s="2" t="s">
        <v>978</v>
      </c>
      <c r="B257" s="3" t="s">
        <v>979</v>
      </c>
      <c r="C257" s="2" t="s">
        <v>834</v>
      </c>
      <c r="D257" s="3" t="s">
        <v>835</v>
      </c>
      <c r="E257" s="3" t="s">
        <v>973</v>
      </c>
      <c r="F257" s="3" t="s">
        <v>499</v>
      </c>
      <c r="G257" s="4" t="s">
        <v>20</v>
      </c>
      <c r="H257" s="4" t="s">
        <v>20</v>
      </c>
      <c r="I257" s="2" t="s">
        <v>876</v>
      </c>
      <c r="J257" s="3" t="s">
        <v>980</v>
      </c>
      <c r="K257" s="3" t="s">
        <v>844</v>
      </c>
      <c r="L257" s="3" t="s">
        <v>981</v>
      </c>
      <c r="M257" s="4" t="s">
        <v>25</v>
      </c>
      <c r="N257" s="4" t="s">
        <v>26</v>
      </c>
    </row>
    <row r="258" spans="1:14" ht="60" x14ac:dyDescent="0.25">
      <c r="A258" s="2" t="s">
        <v>982</v>
      </c>
      <c r="B258" s="3" t="s">
        <v>983</v>
      </c>
      <c r="C258" s="2" t="s">
        <v>834</v>
      </c>
      <c r="D258" s="3" t="s">
        <v>835</v>
      </c>
      <c r="E258" s="3" t="s">
        <v>973</v>
      </c>
      <c r="F258" s="3" t="s">
        <v>499</v>
      </c>
      <c r="G258" s="4" t="s">
        <v>32</v>
      </c>
      <c r="H258" s="4" t="s">
        <v>20</v>
      </c>
      <c r="I258" s="4" t="str">
        <f>INDEX(Neuanlagen!$C$6:$C$90,MATCH($A258,Neuanlagen!$A$6:$A$90,0))</f>
        <v>41863100</v>
      </c>
      <c r="J258" s="3" t="str">
        <f>INDEX(Neuanlagen!$D$6:$D$90,MATCH($A258,Neuanlagen!$A$6:$A$90,0))</f>
        <v>Erlöse aus Weiterberechnung</v>
      </c>
      <c r="K258" s="3" t="s">
        <v>769</v>
      </c>
      <c r="L258" s="3" t="s">
        <v>984</v>
      </c>
      <c r="M258" s="4" t="s">
        <v>25</v>
      </c>
      <c r="N258" s="4" t="s">
        <v>771</v>
      </c>
    </row>
    <row r="259" spans="1:14" ht="24" x14ac:dyDescent="0.25">
      <c r="A259" s="2" t="s">
        <v>985</v>
      </c>
      <c r="B259" s="3" t="s">
        <v>986</v>
      </c>
      <c r="C259" s="2" t="s">
        <v>834</v>
      </c>
      <c r="D259" s="3" t="s">
        <v>835</v>
      </c>
      <c r="E259" s="3" t="s">
        <v>973</v>
      </c>
      <c r="F259" s="3" t="s">
        <v>499</v>
      </c>
      <c r="G259" s="4" t="s">
        <v>32</v>
      </c>
      <c r="H259" s="4" t="s">
        <v>20</v>
      </c>
      <c r="I259" s="2" t="s">
        <v>876</v>
      </c>
      <c r="J259" s="3" t="s">
        <v>980</v>
      </c>
      <c r="K259" s="3" t="s">
        <v>844</v>
      </c>
      <c r="L259" s="3" t="s">
        <v>987</v>
      </c>
      <c r="M259" s="4" t="s">
        <v>25</v>
      </c>
      <c r="N259" s="4" t="s">
        <v>26</v>
      </c>
    </row>
    <row r="260" spans="1:14" ht="60" x14ac:dyDescent="0.25">
      <c r="A260" s="2" t="s">
        <v>988</v>
      </c>
      <c r="B260" s="3" t="s">
        <v>989</v>
      </c>
      <c r="C260" s="2" t="s">
        <v>834</v>
      </c>
      <c r="D260" s="3" t="s">
        <v>835</v>
      </c>
      <c r="E260" s="3" t="s">
        <v>973</v>
      </c>
      <c r="F260" s="3" t="s">
        <v>499</v>
      </c>
      <c r="G260" s="4" t="s">
        <v>20</v>
      </c>
      <c r="H260" s="4" t="s">
        <v>20</v>
      </c>
      <c r="I260" s="4" t="str">
        <f>INDEX(Neuanlagen!$C$6:$C$90,MATCH($A260,Neuanlagen!$A$6:$A$90,0))</f>
        <v>41863310</v>
      </c>
      <c r="J260" s="3" t="str">
        <f>INDEX(Neuanlagen!$D$6:$D$90,MATCH($A260,Neuanlagen!$A$6:$A$90,0))</f>
        <v>Erlöse aus Kofferkuli</v>
      </c>
      <c r="K260" s="3" t="s">
        <v>769</v>
      </c>
      <c r="L260" s="3" t="s">
        <v>990</v>
      </c>
      <c r="M260" s="4" t="s">
        <v>34</v>
      </c>
      <c r="N260" s="4" t="s">
        <v>771</v>
      </c>
    </row>
    <row r="261" spans="1:14" ht="60" x14ac:dyDescent="0.25">
      <c r="A261" s="2" t="s">
        <v>991</v>
      </c>
      <c r="B261" s="3" t="s">
        <v>992</v>
      </c>
      <c r="C261" s="2" t="s">
        <v>834</v>
      </c>
      <c r="D261" s="3" t="s">
        <v>835</v>
      </c>
      <c r="E261" s="3" t="s">
        <v>973</v>
      </c>
      <c r="F261" s="3" t="s">
        <v>499</v>
      </c>
      <c r="G261" s="4" t="s">
        <v>20</v>
      </c>
      <c r="H261" s="4" t="s">
        <v>20</v>
      </c>
      <c r="I261" s="4" t="str">
        <f>INDEX(Neuanlagen!$C$6:$C$90,MATCH($A261,Neuanlagen!$A$6:$A$90,0))</f>
        <v>41863331</v>
      </c>
      <c r="J261" s="3" t="str">
        <f>INDEX(Neuanlagen!$D$6:$D$90,MATCH($A261,Neuanlagen!$A$6:$A$90,0))</f>
        <v>Cute-Erlöse</v>
      </c>
      <c r="K261" s="3" t="s">
        <v>769</v>
      </c>
      <c r="L261" s="3" t="s">
        <v>990</v>
      </c>
      <c r="M261" s="4" t="s">
        <v>34</v>
      </c>
      <c r="N261" s="4" t="s">
        <v>771</v>
      </c>
    </row>
    <row r="262" spans="1:14" ht="60" x14ac:dyDescent="0.25">
      <c r="A262" s="2" t="s">
        <v>993</v>
      </c>
      <c r="B262" s="3" t="s">
        <v>994</v>
      </c>
      <c r="C262" s="2" t="s">
        <v>834</v>
      </c>
      <c r="D262" s="3" t="s">
        <v>835</v>
      </c>
      <c r="E262" s="3" t="s">
        <v>973</v>
      </c>
      <c r="F262" s="3" t="s">
        <v>499</v>
      </c>
      <c r="G262" s="4" t="s">
        <v>20</v>
      </c>
      <c r="H262" s="4" t="s">
        <v>20</v>
      </c>
      <c r="I262" s="4" t="str">
        <f>INDEX(Neuanlagen!$C$6:$C$90,MATCH($A262,Neuanlagen!$A$6:$A$90,0))</f>
        <v>41863440</v>
      </c>
      <c r="J262" s="3" t="str">
        <f>INDEX(Neuanlagen!$D$6:$D$90,MATCH($A262,Neuanlagen!$A$6:$A$90,0))</f>
        <v>Erlöse Sky Train (VRR)</v>
      </c>
      <c r="K262" s="3" t="s">
        <v>769</v>
      </c>
      <c r="L262" s="3" t="s">
        <v>990</v>
      </c>
      <c r="M262" s="4" t="s">
        <v>34</v>
      </c>
      <c r="N262" s="4" t="s">
        <v>771</v>
      </c>
    </row>
    <row r="263" spans="1:14" ht="36" x14ac:dyDescent="0.25">
      <c r="A263" s="2" t="s">
        <v>995</v>
      </c>
      <c r="B263" s="3" t="s">
        <v>996</v>
      </c>
      <c r="C263" s="2" t="s">
        <v>997</v>
      </c>
      <c r="D263" s="3" t="s">
        <v>998</v>
      </c>
      <c r="E263" s="3" t="s">
        <v>999</v>
      </c>
      <c r="F263" s="3" t="s">
        <v>792</v>
      </c>
      <c r="G263" s="4" t="s">
        <v>32</v>
      </c>
      <c r="H263" s="4" t="s">
        <v>32</v>
      </c>
      <c r="I263" s="2" t="s">
        <v>997</v>
      </c>
      <c r="J263" s="3" t="s">
        <v>1000</v>
      </c>
      <c r="K263" s="3" t="s">
        <v>792</v>
      </c>
      <c r="L263" s="3" t="s">
        <v>1001</v>
      </c>
      <c r="M263" s="4" t="s">
        <v>34</v>
      </c>
      <c r="N263" s="4" t="s">
        <v>63</v>
      </c>
    </row>
    <row r="264" spans="1:14" ht="60" x14ac:dyDescent="0.25">
      <c r="A264" s="2" t="s">
        <v>1002</v>
      </c>
      <c r="B264" s="3" t="s">
        <v>1003</v>
      </c>
      <c r="C264" s="2" t="s">
        <v>1004</v>
      </c>
      <c r="D264" s="3" t="s">
        <v>1005</v>
      </c>
      <c r="E264" s="3" t="s">
        <v>1006</v>
      </c>
      <c r="F264" s="3" t="s">
        <v>499</v>
      </c>
      <c r="G264" s="4" t="s">
        <v>20</v>
      </c>
      <c r="H264" s="4" t="s">
        <v>20</v>
      </c>
      <c r="I264" s="4" t="str">
        <f>INDEX(Neuanlagen!$C$6:$C$90,MATCH($A264,Neuanlagen!$A$6:$A$90,0))</f>
        <v>41870000</v>
      </c>
      <c r="J264" s="3" t="str">
        <f>INDEX(Neuanlagen!$D$6:$D$90,MATCH($A264,Neuanlagen!$A$6:$A$90,0))</f>
        <v>Erträge aus aktivierten Eigenleistungen</v>
      </c>
      <c r="K264" s="3" t="s">
        <v>1007</v>
      </c>
      <c r="L264" s="3" t="s">
        <v>1008</v>
      </c>
      <c r="M264" s="4" t="s">
        <v>25</v>
      </c>
      <c r="N264" s="4" t="s">
        <v>771</v>
      </c>
    </row>
    <row r="265" spans="1:14" ht="48" x14ac:dyDescent="0.25">
      <c r="A265" s="2" t="s">
        <v>1009</v>
      </c>
      <c r="B265" s="3" t="s">
        <v>1010</v>
      </c>
      <c r="C265" s="2" t="s">
        <v>1004</v>
      </c>
      <c r="D265" s="3" t="s">
        <v>1005</v>
      </c>
      <c r="E265" s="3" t="s">
        <v>1011</v>
      </c>
      <c r="F265" s="3" t="s">
        <v>499</v>
      </c>
      <c r="G265" s="4" t="s">
        <v>20</v>
      </c>
      <c r="H265" s="4" t="s">
        <v>20</v>
      </c>
      <c r="I265" s="2"/>
      <c r="J265" s="3"/>
      <c r="K265" s="3"/>
      <c r="L265" s="3" t="s">
        <v>1012</v>
      </c>
      <c r="M265" s="4" t="s">
        <v>25</v>
      </c>
      <c r="N265" s="4" t="s">
        <v>35</v>
      </c>
    </row>
    <row r="266" spans="1:14" ht="48" x14ac:dyDescent="0.25">
      <c r="A266" s="2" t="s">
        <v>1013</v>
      </c>
      <c r="B266" s="3" t="s">
        <v>1014</v>
      </c>
      <c r="C266" s="2" t="s">
        <v>1004</v>
      </c>
      <c r="D266" s="3" t="s">
        <v>1005</v>
      </c>
      <c r="E266" s="3" t="s">
        <v>1011</v>
      </c>
      <c r="F266" s="3" t="s">
        <v>499</v>
      </c>
      <c r="G266" s="4" t="s">
        <v>20</v>
      </c>
      <c r="H266" s="4" t="s">
        <v>20</v>
      </c>
      <c r="I266" s="2"/>
      <c r="J266" s="3"/>
      <c r="K266" s="3"/>
      <c r="L266" s="3" t="s">
        <v>1012</v>
      </c>
      <c r="M266" s="4" t="s">
        <v>25</v>
      </c>
      <c r="N266" s="4" t="s">
        <v>35</v>
      </c>
    </row>
    <row r="267" spans="1:14" ht="48" x14ac:dyDescent="0.25">
      <c r="A267" s="2" t="s">
        <v>1015</v>
      </c>
      <c r="B267" s="3" t="s">
        <v>1016</v>
      </c>
      <c r="C267" s="2" t="s">
        <v>1004</v>
      </c>
      <c r="D267" s="3" t="s">
        <v>1005</v>
      </c>
      <c r="E267" s="3" t="s">
        <v>1011</v>
      </c>
      <c r="F267" s="3" t="s">
        <v>499</v>
      </c>
      <c r="G267" s="4" t="s">
        <v>20</v>
      </c>
      <c r="H267" s="4" t="s">
        <v>20</v>
      </c>
      <c r="I267" s="2"/>
      <c r="J267" s="3"/>
      <c r="K267" s="3"/>
      <c r="L267" s="3" t="s">
        <v>1012</v>
      </c>
      <c r="M267" s="4" t="s">
        <v>25</v>
      </c>
      <c r="N267" s="4" t="s">
        <v>35</v>
      </c>
    </row>
    <row r="268" spans="1:14" ht="48" x14ac:dyDescent="0.25">
      <c r="A268" s="2" t="s">
        <v>1017</v>
      </c>
      <c r="B268" s="3" t="s">
        <v>1018</v>
      </c>
      <c r="C268" s="2" t="s">
        <v>1004</v>
      </c>
      <c r="D268" s="3" t="s">
        <v>1005</v>
      </c>
      <c r="E268" s="3" t="s">
        <v>1011</v>
      </c>
      <c r="F268" s="3" t="s">
        <v>499</v>
      </c>
      <c r="G268" s="4" t="s">
        <v>20</v>
      </c>
      <c r="H268" s="4" t="s">
        <v>20</v>
      </c>
      <c r="I268" s="2"/>
      <c r="J268" s="3"/>
      <c r="K268" s="3"/>
      <c r="L268" s="3" t="s">
        <v>1012</v>
      </c>
      <c r="M268" s="4" t="s">
        <v>25</v>
      </c>
      <c r="N268" s="4" t="s">
        <v>35</v>
      </c>
    </row>
    <row r="269" spans="1:14" ht="48" x14ac:dyDescent="0.25">
      <c r="A269" s="2" t="s">
        <v>1019</v>
      </c>
      <c r="B269" s="3" t="s">
        <v>1020</v>
      </c>
      <c r="C269" s="2" t="s">
        <v>1004</v>
      </c>
      <c r="D269" s="3" t="s">
        <v>1005</v>
      </c>
      <c r="E269" s="3" t="s">
        <v>1011</v>
      </c>
      <c r="F269" s="3" t="s">
        <v>499</v>
      </c>
      <c r="G269" s="4" t="s">
        <v>20</v>
      </c>
      <c r="H269" s="4" t="s">
        <v>20</v>
      </c>
      <c r="I269" s="2"/>
      <c r="J269" s="3"/>
      <c r="K269" s="3"/>
      <c r="L269" s="3" t="s">
        <v>1012</v>
      </c>
      <c r="M269" s="4" t="s">
        <v>25</v>
      </c>
      <c r="N269" s="4" t="s">
        <v>35</v>
      </c>
    </row>
    <row r="270" spans="1:14" ht="36" x14ac:dyDescent="0.25">
      <c r="A270" s="2" t="s">
        <v>1021</v>
      </c>
      <c r="B270" s="3" t="s">
        <v>1022</v>
      </c>
      <c r="C270" s="2" t="s">
        <v>1004</v>
      </c>
      <c r="D270" s="3" t="s">
        <v>1005</v>
      </c>
      <c r="E270" s="3" t="s">
        <v>1023</v>
      </c>
      <c r="F270" s="3" t="s">
        <v>499</v>
      </c>
      <c r="G270" s="4" t="s">
        <v>20</v>
      </c>
      <c r="H270" s="4" t="s">
        <v>20</v>
      </c>
      <c r="I270" s="2" t="s">
        <v>1024</v>
      </c>
      <c r="J270" s="3" t="s">
        <v>1025</v>
      </c>
      <c r="K270" s="3" t="s">
        <v>148</v>
      </c>
      <c r="L270" s="3" t="s">
        <v>1026</v>
      </c>
      <c r="M270" s="4" t="s">
        <v>25</v>
      </c>
      <c r="N270" s="4" t="s">
        <v>26</v>
      </c>
    </row>
    <row r="271" spans="1:14" ht="36" x14ac:dyDescent="0.25">
      <c r="A271" s="2" t="s">
        <v>1027</v>
      </c>
      <c r="B271" s="3" t="s">
        <v>1028</v>
      </c>
      <c r="C271" s="2" t="s">
        <v>1024</v>
      </c>
      <c r="D271" s="3" t="s">
        <v>1029</v>
      </c>
      <c r="E271" s="3" t="s">
        <v>1023</v>
      </c>
      <c r="F271" s="3" t="s">
        <v>148</v>
      </c>
      <c r="G271" s="4" t="s">
        <v>32</v>
      </c>
      <c r="H271" s="4" t="s">
        <v>32</v>
      </c>
      <c r="I271" s="2" t="s">
        <v>1024</v>
      </c>
      <c r="J271" s="3" t="s">
        <v>1025</v>
      </c>
      <c r="K271" s="3" t="s">
        <v>148</v>
      </c>
      <c r="L271" s="3" t="s">
        <v>1030</v>
      </c>
      <c r="M271" s="4" t="s">
        <v>25</v>
      </c>
      <c r="N271" s="4" t="s">
        <v>63</v>
      </c>
    </row>
    <row r="272" spans="1:14" ht="24" x14ac:dyDescent="0.25">
      <c r="A272" s="2" t="s">
        <v>1031</v>
      </c>
      <c r="B272" s="3" t="s">
        <v>1032</v>
      </c>
      <c r="C272" s="2" t="s">
        <v>1004</v>
      </c>
      <c r="D272" s="3" t="s">
        <v>1005</v>
      </c>
      <c r="E272" s="3" t="s">
        <v>1033</v>
      </c>
      <c r="F272" s="3" t="s">
        <v>499</v>
      </c>
      <c r="G272" s="4" t="s">
        <v>20</v>
      </c>
      <c r="H272" s="4" t="s">
        <v>20</v>
      </c>
      <c r="I272" s="2" t="s">
        <v>1034</v>
      </c>
      <c r="J272" s="3" t="s">
        <v>1035</v>
      </c>
      <c r="K272" s="3" t="s">
        <v>148</v>
      </c>
      <c r="L272" s="3" t="s">
        <v>1036</v>
      </c>
      <c r="M272" s="4" t="s">
        <v>34</v>
      </c>
      <c r="N272" s="4" t="s">
        <v>26</v>
      </c>
    </row>
    <row r="273" spans="1:14" ht="24" x14ac:dyDescent="0.25">
      <c r="A273" s="2" t="s">
        <v>1037</v>
      </c>
      <c r="B273" s="3" t="s">
        <v>1029</v>
      </c>
      <c r="C273" s="2" t="s">
        <v>1024</v>
      </c>
      <c r="D273" s="3" t="s">
        <v>1029</v>
      </c>
      <c r="E273" s="3" t="s">
        <v>1033</v>
      </c>
      <c r="F273" s="3" t="s">
        <v>148</v>
      </c>
      <c r="G273" s="4" t="s">
        <v>32</v>
      </c>
      <c r="H273" s="4" t="s">
        <v>32</v>
      </c>
      <c r="I273" s="2" t="s">
        <v>1024</v>
      </c>
      <c r="J273" s="3" t="s">
        <v>1025</v>
      </c>
      <c r="K273" s="3" t="s">
        <v>148</v>
      </c>
      <c r="L273" s="3" t="s">
        <v>1038</v>
      </c>
      <c r="M273" s="4" t="s">
        <v>34</v>
      </c>
      <c r="N273" s="4" t="s">
        <v>63</v>
      </c>
    </row>
    <row r="274" spans="1:14" ht="36" x14ac:dyDescent="0.25">
      <c r="A274" s="2" t="s">
        <v>1039</v>
      </c>
      <c r="B274" s="3" t="s">
        <v>1040</v>
      </c>
      <c r="C274" s="2" t="s">
        <v>1004</v>
      </c>
      <c r="D274" s="3" t="s">
        <v>1005</v>
      </c>
      <c r="E274" s="3" t="s">
        <v>1033</v>
      </c>
      <c r="F274" s="3" t="s">
        <v>499</v>
      </c>
      <c r="G274" s="4" t="s">
        <v>20</v>
      </c>
      <c r="H274" s="4" t="s">
        <v>20</v>
      </c>
      <c r="I274" s="2" t="s">
        <v>1024</v>
      </c>
      <c r="J274" s="3" t="s">
        <v>1025</v>
      </c>
      <c r="K274" s="3" t="s">
        <v>148</v>
      </c>
      <c r="L274" s="3" t="s">
        <v>1041</v>
      </c>
      <c r="M274" s="4" t="s">
        <v>25</v>
      </c>
      <c r="N274" s="4" t="s">
        <v>26</v>
      </c>
    </row>
    <row r="275" spans="1:14" ht="60" x14ac:dyDescent="0.25">
      <c r="A275" s="2" t="s">
        <v>1042</v>
      </c>
      <c r="B275" s="3" t="s">
        <v>1043</v>
      </c>
      <c r="C275" s="2" t="s">
        <v>1044</v>
      </c>
      <c r="D275" s="3" t="s">
        <v>1045</v>
      </c>
      <c r="E275" s="3" t="s">
        <v>1033</v>
      </c>
      <c r="F275" s="3" t="s">
        <v>1046</v>
      </c>
      <c r="G275" s="4" t="s">
        <v>32</v>
      </c>
      <c r="H275" s="4" t="s">
        <v>32</v>
      </c>
      <c r="I275" s="2" t="s">
        <v>1044</v>
      </c>
      <c r="J275" s="3" t="s">
        <v>1047</v>
      </c>
      <c r="K275" s="3" t="s">
        <v>1046</v>
      </c>
      <c r="L275" s="3" t="s">
        <v>1048</v>
      </c>
      <c r="M275" s="4" t="s">
        <v>34</v>
      </c>
      <c r="N275" s="4" t="s">
        <v>63</v>
      </c>
    </row>
    <row r="276" spans="1:14" ht="36" x14ac:dyDescent="0.25">
      <c r="A276" s="2" t="s">
        <v>1049</v>
      </c>
      <c r="B276" s="3" t="s">
        <v>1050</v>
      </c>
      <c r="C276" s="2" t="s">
        <v>1004</v>
      </c>
      <c r="D276" s="3" t="s">
        <v>1005</v>
      </c>
      <c r="E276" s="3" t="s">
        <v>1033</v>
      </c>
      <c r="F276" s="3" t="s">
        <v>499</v>
      </c>
      <c r="G276" s="4" t="s">
        <v>20</v>
      </c>
      <c r="H276" s="4" t="s">
        <v>20</v>
      </c>
      <c r="I276" s="2" t="s">
        <v>1051</v>
      </c>
      <c r="J276" s="3" t="s">
        <v>1052</v>
      </c>
      <c r="K276" s="3" t="s">
        <v>148</v>
      </c>
      <c r="L276" s="3" t="s">
        <v>1053</v>
      </c>
      <c r="M276" s="4" t="s">
        <v>25</v>
      </c>
      <c r="N276" s="4" t="s">
        <v>26</v>
      </c>
    </row>
    <row r="277" spans="1:14" ht="36" x14ac:dyDescent="0.25">
      <c r="A277" s="2" t="s">
        <v>1054</v>
      </c>
      <c r="B277" s="3" t="s">
        <v>1055</v>
      </c>
      <c r="C277" s="2" t="s">
        <v>1004</v>
      </c>
      <c r="D277" s="3" t="s">
        <v>1005</v>
      </c>
      <c r="E277" s="3" t="s">
        <v>1033</v>
      </c>
      <c r="F277" s="3" t="s">
        <v>499</v>
      </c>
      <c r="G277" s="4" t="s">
        <v>20</v>
      </c>
      <c r="H277" s="4" t="s">
        <v>20</v>
      </c>
      <c r="I277" s="2" t="s">
        <v>1024</v>
      </c>
      <c r="J277" s="3" t="s">
        <v>1025</v>
      </c>
      <c r="K277" s="3" t="s">
        <v>148</v>
      </c>
      <c r="L277" s="3" t="s">
        <v>1041</v>
      </c>
      <c r="M277" s="4" t="s">
        <v>25</v>
      </c>
      <c r="N277" s="4" t="s">
        <v>26</v>
      </c>
    </row>
    <row r="278" spans="1:14" ht="48" x14ac:dyDescent="0.25">
      <c r="A278" s="2" t="s">
        <v>1056</v>
      </c>
      <c r="B278" s="3" t="s">
        <v>1057</v>
      </c>
      <c r="C278" s="2" t="s">
        <v>1058</v>
      </c>
      <c r="D278" s="3" t="s">
        <v>1059</v>
      </c>
      <c r="E278" s="3" t="s">
        <v>1033</v>
      </c>
      <c r="F278" s="3" t="s">
        <v>171</v>
      </c>
      <c r="G278" s="4" t="s">
        <v>20</v>
      </c>
      <c r="H278" s="4" t="s">
        <v>20</v>
      </c>
      <c r="I278" s="2" t="s">
        <v>1024</v>
      </c>
      <c r="J278" s="3" t="s">
        <v>1025</v>
      </c>
      <c r="K278" s="3" t="s">
        <v>148</v>
      </c>
      <c r="L278" s="3" t="s">
        <v>1060</v>
      </c>
      <c r="M278" s="4" t="s">
        <v>25</v>
      </c>
      <c r="N278" s="4" t="s">
        <v>26</v>
      </c>
    </row>
    <row r="279" spans="1:14" ht="24" x14ac:dyDescent="0.25">
      <c r="A279" s="2" t="s">
        <v>1061</v>
      </c>
      <c r="B279" s="3" t="s">
        <v>1062</v>
      </c>
      <c r="C279" s="2" t="s">
        <v>555</v>
      </c>
      <c r="D279" s="3" t="s">
        <v>571</v>
      </c>
      <c r="E279" s="3" t="s">
        <v>1033</v>
      </c>
      <c r="F279" s="3" t="s">
        <v>224</v>
      </c>
      <c r="G279" s="4" t="s">
        <v>20</v>
      </c>
      <c r="H279" s="4" t="s">
        <v>20</v>
      </c>
      <c r="I279" s="2" t="s">
        <v>1063</v>
      </c>
      <c r="J279" s="3" t="s">
        <v>1064</v>
      </c>
      <c r="K279" s="3" t="s">
        <v>148</v>
      </c>
      <c r="L279" s="3" t="s">
        <v>1065</v>
      </c>
      <c r="M279" s="4" t="s">
        <v>34</v>
      </c>
      <c r="N279" s="4" t="s">
        <v>26</v>
      </c>
    </row>
    <row r="280" spans="1:14" ht="24" x14ac:dyDescent="0.25">
      <c r="A280" s="2" t="s">
        <v>1066</v>
      </c>
      <c r="B280" s="3" t="s">
        <v>1067</v>
      </c>
      <c r="C280" s="2" t="s">
        <v>66</v>
      </c>
      <c r="D280" s="3"/>
      <c r="E280" s="3" t="s">
        <v>1033</v>
      </c>
      <c r="F280" s="3"/>
      <c r="G280" s="4" t="s">
        <v>68</v>
      </c>
      <c r="H280" s="4" t="s">
        <v>68</v>
      </c>
      <c r="I280" s="2" t="s">
        <v>1063</v>
      </c>
      <c r="J280" s="3" t="s">
        <v>1064</v>
      </c>
      <c r="K280" s="3" t="s">
        <v>148</v>
      </c>
      <c r="L280" s="3" t="s">
        <v>1068</v>
      </c>
      <c r="M280" s="4" t="s">
        <v>34</v>
      </c>
      <c r="N280" s="4" t="s">
        <v>26</v>
      </c>
    </row>
    <row r="281" spans="1:14" ht="36" x14ac:dyDescent="0.25">
      <c r="A281" s="2" t="s">
        <v>1069</v>
      </c>
      <c r="B281" s="3" t="s">
        <v>1070</v>
      </c>
      <c r="C281" s="2" t="s">
        <v>1004</v>
      </c>
      <c r="D281" s="3" t="s">
        <v>1005</v>
      </c>
      <c r="E281" s="3" t="s">
        <v>1033</v>
      </c>
      <c r="F281" s="3" t="s">
        <v>499</v>
      </c>
      <c r="G281" s="4" t="s">
        <v>20</v>
      </c>
      <c r="H281" s="4" t="s">
        <v>20</v>
      </c>
      <c r="I281" s="2" t="s">
        <v>1024</v>
      </c>
      <c r="J281" s="3" t="s">
        <v>1025</v>
      </c>
      <c r="K281" s="3" t="s">
        <v>148</v>
      </c>
      <c r="L281" s="3" t="s">
        <v>1041</v>
      </c>
      <c r="M281" s="4" t="s">
        <v>25</v>
      </c>
      <c r="N281" s="4" t="s">
        <v>26</v>
      </c>
    </row>
    <row r="282" spans="1:14" ht="36" x14ac:dyDescent="0.25">
      <c r="A282" s="2" t="s">
        <v>1071</v>
      </c>
      <c r="B282" s="3" t="s">
        <v>1072</v>
      </c>
      <c r="C282" s="2" t="s">
        <v>66</v>
      </c>
      <c r="D282" s="3"/>
      <c r="E282" s="3" t="s">
        <v>1033</v>
      </c>
      <c r="F282" s="3"/>
      <c r="G282" s="4" t="s">
        <v>68</v>
      </c>
      <c r="H282" s="4" t="s">
        <v>68</v>
      </c>
      <c r="I282" s="2" t="s">
        <v>1024</v>
      </c>
      <c r="J282" s="3" t="s">
        <v>1025</v>
      </c>
      <c r="K282" s="3" t="s">
        <v>148</v>
      </c>
      <c r="L282" s="3" t="s">
        <v>1073</v>
      </c>
      <c r="M282" s="4" t="s">
        <v>25</v>
      </c>
      <c r="N282" s="4" t="s">
        <v>26</v>
      </c>
    </row>
    <row r="283" spans="1:14" ht="60" x14ac:dyDescent="0.25">
      <c r="A283" s="2" t="s">
        <v>1074</v>
      </c>
      <c r="B283" s="3" t="s">
        <v>1075</v>
      </c>
      <c r="C283" s="2" t="s">
        <v>876</v>
      </c>
      <c r="D283" s="3" t="s">
        <v>877</v>
      </c>
      <c r="E283" s="3" t="s">
        <v>1033</v>
      </c>
      <c r="F283" s="3" t="s">
        <v>844</v>
      </c>
      <c r="G283" s="4" t="s">
        <v>20</v>
      </c>
      <c r="H283" s="4" t="s">
        <v>20</v>
      </c>
      <c r="I283" s="2" t="s">
        <v>1076</v>
      </c>
      <c r="J283" s="3" t="s">
        <v>1077</v>
      </c>
      <c r="K283" s="3" t="s">
        <v>1046</v>
      </c>
      <c r="L283" s="3" t="s">
        <v>1078</v>
      </c>
      <c r="M283" s="4" t="s">
        <v>34</v>
      </c>
      <c r="N283" s="4" t="s">
        <v>26</v>
      </c>
    </row>
    <row r="284" spans="1:14" ht="60" x14ac:dyDescent="0.25">
      <c r="A284" s="2" t="s">
        <v>1079</v>
      </c>
      <c r="B284" s="3" t="s">
        <v>1080</v>
      </c>
      <c r="C284" s="2" t="s">
        <v>1081</v>
      </c>
      <c r="D284" s="3" t="s">
        <v>1082</v>
      </c>
      <c r="E284" s="3" t="s">
        <v>1033</v>
      </c>
      <c r="F284" s="3" t="s">
        <v>1046</v>
      </c>
      <c r="G284" s="4" t="s">
        <v>32</v>
      </c>
      <c r="H284" s="4" t="s">
        <v>32</v>
      </c>
      <c r="I284" s="2" t="s">
        <v>1081</v>
      </c>
      <c r="J284" s="3" t="s">
        <v>1083</v>
      </c>
      <c r="K284" s="3" t="s">
        <v>1046</v>
      </c>
      <c r="L284" s="3" t="s">
        <v>1084</v>
      </c>
      <c r="M284" s="4" t="s">
        <v>34</v>
      </c>
      <c r="N284" s="4" t="s">
        <v>63</v>
      </c>
    </row>
    <row r="285" spans="1:14" ht="48" x14ac:dyDescent="0.25">
      <c r="A285" s="2" t="s">
        <v>1085</v>
      </c>
      <c r="B285" s="3" t="s">
        <v>615</v>
      </c>
      <c r="C285" s="2" t="s">
        <v>505</v>
      </c>
      <c r="D285" s="3" t="s">
        <v>506</v>
      </c>
      <c r="E285" s="3" t="s">
        <v>507</v>
      </c>
      <c r="F285" s="3" t="s">
        <v>499</v>
      </c>
      <c r="G285" s="4" t="s">
        <v>32</v>
      </c>
      <c r="H285" s="4" t="s">
        <v>32</v>
      </c>
      <c r="I285" s="2" t="s">
        <v>505</v>
      </c>
      <c r="J285" s="3" t="s">
        <v>508</v>
      </c>
      <c r="K285" s="3" t="s">
        <v>499</v>
      </c>
      <c r="L285" s="3" t="s">
        <v>509</v>
      </c>
      <c r="M285" s="4" t="s">
        <v>25</v>
      </c>
      <c r="N285" s="4" t="s">
        <v>63</v>
      </c>
    </row>
    <row r="286" spans="1:14" ht="36" x14ac:dyDescent="0.25">
      <c r="A286" s="2" t="s">
        <v>1086</v>
      </c>
      <c r="B286" s="3" t="s">
        <v>1087</v>
      </c>
      <c r="C286" s="2" t="s">
        <v>66</v>
      </c>
      <c r="D286" s="3"/>
      <c r="E286" s="3" t="s">
        <v>1033</v>
      </c>
      <c r="F286" s="3"/>
      <c r="G286" s="4" t="s">
        <v>68</v>
      </c>
      <c r="H286" s="4" t="s">
        <v>68</v>
      </c>
      <c r="I286" s="2" t="s">
        <v>1024</v>
      </c>
      <c r="J286" s="3" t="s">
        <v>1025</v>
      </c>
      <c r="K286" s="3" t="s">
        <v>148</v>
      </c>
      <c r="L286" s="3" t="s">
        <v>1088</v>
      </c>
      <c r="M286" s="4" t="s">
        <v>25</v>
      </c>
      <c r="N286" s="4" t="s">
        <v>26</v>
      </c>
    </row>
    <row r="287" spans="1:14" ht="36" x14ac:dyDescent="0.25">
      <c r="A287" s="2" t="s">
        <v>1089</v>
      </c>
      <c r="B287" s="3" t="s">
        <v>1090</v>
      </c>
      <c r="C287" s="2" t="s">
        <v>1004</v>
      </c>
      <c r="D287" s="3" t="s">
        <v>1005</v>
      </c>
      <c r="E287" s="3" t="s">
        <v>1033</v>
      </c>
      <c r="F287" s="3" t="s">
        <v>499</v>
      </c>
      <c r="G287" s="4" t="s">
        <v>20</v>
      </c>
      <c r="H287" s="4" t="s">
        <v>20</v>
      </c>
      <c r="I287" s="2" t="s">
        <v>1024</v>
      </c>
      <c r="J287" s="3" t="s">
        <v>1025</v>
      </c>
      <c r="K287" s="3" t="s">
        <v>148</v>
      </c>
      <c r="L287" s="3" t="s">
        <v>1041</v>
      </c>
      <c r="M287" s="4" t="s">
        <v>25</v>
      </c>
      <c r="N287" s="4" t="s">
        <v>26</v>
      </c>
    </row>
    <row r="288" spans="1:14" ht="24" x14ac:dyDescent="0.25">
      <c r="A288" s="2" t="s">
        <v>1091</v>
      </c>
      <c r="B288" s="3" t="s">
        <v>1092</v>
      </c>
      <c r="C288" s="2" t="s">
        <v>1093</v>
      </c>
      <c r="D288" s="3" t="s">
        <v>1094</v>
      </c>
      <c r="E288" s="3" t="s">
        <v>1095</v>
      </c>
      <c r="F288" s="3" t="s">
        <v>164</v>
      </c>
      <c r="G288" s="4" t="s">
        <v>20</v>
      </c>
      <c r="H288" s="4" t="s">
        <v>32</v>
      </c>
      <c r="I288" s="2" t="s">
        <v>1096</v>
      </c>
      <c r="J288" s="3" t="s">
        <v>1097</v>
      </c>
      <c r="K288" s="3" t="s">
        <v>164</v>
      </c>
      <c r="L288" s="3" t="s">
        <v>1098</v>
      </c>
      <c r="M288" s="4" t="s">
        <v>25</v>
      </c>
      <c r="N288" s="4" t="s">
        <v>26</v>
      </c>
    </row>
    <row r="289" spans="1:14" ht="36" x14ac:dyDescent="0.25">
      <c r="A289" s="2" t="s">
        <v>1099</v>
      </c>
      <c r="B289" s="3" t="s">
        <v>1100</v>
      </c>
      <c r="C289" s="2" t="s">
        <v>1101</v>
      </c>
      <c r="D289" s="3" t="s">
        <v>1102</v>
      </c>
      <c r="E289" s="3" t="s">
        <v>1095</v>
      </c>
      <c r="F289" s="3" t="s">
        <v>164</v>
      </c>
      <c r="G289" s="4" t="s">
        <v>32</v>
      </c>
      <c r="H289" s="4" t="s">
        <v>32</v>
      </c>
      <c r="I289" s="2" t="s">
        <v>1101</v>
      </c>
      <c r="J289" s="3" t="s">
        <v>1103</v>
      </c>
      <c r="K289" s="3" t="s">
        <v>164</v>
      </c>
      <c r="L289" s="3" t="s">
        <v>1104</v>
      </c>
      <c r="M289" s="4" t="s">
        <v>25</v>
      </c>
      <c r="N289" s="4" t="s">
        <v>63</v>
      </c>
    </row>
    <row r="290" spans="1:14" ht="24" x14ac:dyDescent="0.25">
      <c r="A290" s="2" t="s">
        <v>1105</v>
      </c>
      <c r="B290" s="3" t="s">
        <v>1106</v>
      </c>
      <c r="C290" s="2" t="s">
        <v>1107</v>
      </c>
      <c r="D290" s="3" t="s">
        <v>1108</v>
      </c>
      <c r="E290" s="3" t="s">
        <v>1095</v>
      </c>
      <c r="F290" s="3" t="s">
        <v>164</v>
      </c>
      <c r="G290" s="4" t="s">
        <v>20</v>
      </c>
      <c r="H290" s="4" t="s">
        <v>32</v>
      </c>
      <c r="I290" s="2" t="s">
        <v>1109</v>
      </c>
      <c r="J290" s="3" t="s">
        <v>1110</v>
      </c>
      <c r="K290" s="3" t="s">
        <v>164</v>
      </c>
      <c r="L290" s="3" t="s">
        <v>1111</v>
      </c>
      <c r="M290" s="4" t="s">
        <v>34</v>
      </c>
      <c r="N290" s="4" t="s">
        <v>26</v>
      </c>
    </row>
    <row r="291" spans="1:14" ht="24" x14ac:dyDescent="0.25">
      <c r="A291" s="2" t="s">
        <v>1112</v>
      </c>
      <c r="B291" s="3" t="s">
        <v>1113</v>
      </c>
      <c r="C291" s="2" t="s">
        <v>1004</v>
      </c>
      <c r="D291" s="3" t="s">
        <v>1005</v>
      </c>
      <c r="E291" s="3" t="s">
        <v>1095</v>
      </c>
      <c r="F291" s="3" t="s">
        <v>499</v>
      </c>
      <c r="G291" s="4" t="s">
        <v>20</v>
      </c>
      <c r="H291" s="4" t="s">
        <v>20</v>
      </c>
      <c r="I291" s="2" t="s">
        <v>1114</v>
      </c>
      <c r="J291" s="3" t="s">
        <v>1115</v>
      </c>
      <c r="K291" s="3" t="s">
        <v>164</v>
      </c>
      <c r="L291" s="3" t="s">
        <v>1116</v>
      </c>
      <c r="M291" s="4" t="s">
        <v>34</v>
      </c>
      <c r="N291" s="4" t="s">
        <v>26</v>
      </c>
    </row>
    <row r="292" spans="1:14" ht="60" x14ac:dyDescent="0.25">
      <c r="A292" s="2" t="s">
        <v>1117</v>
      </c>
      <c r="B292" s="3" t="s">
        <v>1118</v>
      </c>
      <c r="C292" s="2" t="s">
        <v>1076</v>
      </c>
      <c r="D292" s="3" t="s">
        <v>1119</v>
      </c>
      <c r="E292" s="3" t="s">
        <v>1095</v>
      </c>
      <c r="F292" s="3" t="s">
        <v>1046</v>
      </c>
      <c r="G292" s="4" t="s">
        <v>20</v>
      </c>
      <c r="H292" s="4" t="s">
        <v>20</v>
      </c>
      <c r="I292" s="2" t="s">
        <v>1120</v>
      </c>
      <c r="J292" s="3" t="s">
        <v>1121</v>
      </c>
      <c r="K292" s="3" t="s">
        <v>148</v>
      </c>
      <c r="L292" s="3" t="s">
        <v>1122</v>
      </c>
      <c r="M292" s="4" t="s">
        <v>25</v>
      </c>
      <c r="N292" s="4" t="s">
        <v>235</v>
      </c>
    </row>
    <row r="293" spans="1:14" ht="48" x14ac:dyDescent="0.25">
      <c r="A293" s="2" t="s">
        <v>1123</v>
      </c>
      <c r="B293" s="3" t="s">
        <v>1124</v>
      </c>
      <c r="C293" s="2" t="s">
        <v>1125</v>
      </c>
      <c r="D293" s="3" t="s">
        <v>1126</v>
      </c>
      <c r="E293" s="3" t="s">
        <v>1095</v>
      </c>
      <c r="F293" s="3" t="s">
        <v>148</v>
      </c>
      <c r="G293" s="4" t="s">
        <v>32</v>
      </c>
      <c r="H293" s="4" t="s">
        <v>20</v>
      </c>
      <c r="I293" s="2" t="s">
        <v>1125</v>
      </c>
      <c r="J293" s="3" t="s">
        <v>1127</v>
      </c>
      <c r="K293" s="3" t="s">
        <v>148</v>
      </c>
      <c r="L293" s="3" t="s">
        <v>1128</v>
      </c>
      <c r="M293" s="4" t="s">
        <v>25</v>
      </c>
      <c r="N293" s="4" t="s">
        <v>235</v>
      </c>
    </row>
    <row r="294" spans="1:14" ht="60" x14ac:dyDescent="0.25">
      <c r="A294" s="2" t="s">
        <v>1129</v>
      </c>
      <c r="B294" s="3" t="s">
        <v>1130</v>
      </c>
      <c r="C294" s="2" t="s">
        <v>1051</v>
      </c>
      <c r="D294" s="3" t="s">
        <v>1131</v>
      </c>
      <c r="E294" s="3" t="s">
        <v>1095</v>
      </c>
      <c r="F294" s="3" t="s">
        <v>148</v>
      </c>
      <c r="G294" s="4" t="s">
        <v>32</v>
      </c>
      <c r="H294" s="4" t="s">
        <v>20</v>
      </c>
      <c r="I294" s="2" t="s">
        <v>1051</v>
      </c>
      <c r="J294" s="3" t="s">
        <v>1052</v>
      </c>
      <c r="K294" s="3" t="s">
        <v>148</v>
      </c>
      <c r="L294" s="3" t="s">
        <v>1132</v>
      </c>
      <c r="M294" s="4" t="s">
        <v>25</v>
      </c>
      <c r="N294" s="4" t="s">
        <v>235</v>
      </c>
    </row>
    <row r="295" spans="1:14" ht="24" x14ac:dyDescent="0.25">
      <c r="A295" s="2" t="s">
        <v>1133</v>
      </c>
      <c r="B295" s="3" t="s">
        <v>1134</v>
      </c>
      <c r="C295" s="2" t="s">
        <v>1135</v>
      </c>
      <c r="D295" s="3" t="s">
        <v>1136</v>
      </c>
      <c r="E295" s="3" t="s">
        <v>1095</v>
      </c>
      <c r="F295" s="3" t="s">
        <v>164</v>
      </c>
      <c r="G295" s="4" t="s">
        <v>20</v>
      </c>
      <c r="H295" s="4" t="s">
        <v>32</v>
      </c>
      <c r="I295" s="2" t="s">
        <v>1137</v>
      </c>
      <c r="J295" s="3" t="s">
        <v>1138</v>
      </c>
      <c r="K295" s="3" t="s">
        <v>164</v>
      </c>
      <c r="L295" s="3" t="s">
        <v>1139</v>
      </c>
      <c r="M295" s="4" t="s">
        <v>25</v>
      </c>
      <c r="N295" s="4" t="s">
        <v>26</v>
      </c>
    </row>
    <row r="296" spans="1:14" ht="48" x14ac:dyDescent="0.25">
      <c r="A296" s="2" t="s">
        <v>1140</v>
      </c>
      <c r="B296" s="3" t="s">
        <v>1141</v>
      </c>
      <c r="C296" s="2" t="s">
        <v>1142</v>
      </c>
      <c r="D296" s="3" t="s">
        <v>1143</v>
      </c>
      <c r="E296" s="3" t="s">
        <v>1095</v>
      </c>
      <c r="F296" s="3" t="s">
        <v>164</v>
      </c>
      <c r="G296" s="4" t="s">
        <v>32</v>
      </c>
      <c r="H296" s="4" t="s">
        <v>32</v>
      </c>
      <c r="I296" s="2" t="s">
        <v>1142</v>
      </c>
      <c r="J296" s="3" t="s">
        <v>1144</v>
      </c>
      <c r="K296" s="3" t="s">
        <v>164</v>
      </c>
      <c r="L296" s="3" t="s">
        <v>1145</v>
      </c>
      <c r="M296" s="4" t="s">
        <v>25</v>
      </c>
      <c r="N296" s="4" t="s">
        <v>63</v>
      </c>
    </row>
    <row r="297" spans="1:14" ht="60" x14ac:dyDescent="0.25">
      <c r="A297" s="2" t="s">
        <v>1146</v>
      </c>
      <c r="B297" s="3" t="s">
        <v>1147</v>
      </c>
      <c r="C297" s="2" t="s">
        <v>1148</v>
      </c>
      <c r="D297" s="3" t="s">
        <v>1149</v>
      </c>
      <c r="E297" s="3" t="s">
        <v>1095</v>
      </c>
      <c r="F297" s="3" t="s">
        <v>164</v>
      </c>
      <c r="G297" s="4" t="s">
        <v>20</v>
      </c>
      <c r="H297" s="4" t="s">
        <v>32</v>
      </c>
      <c r="I297" s="2" t="s">
        <v>1142</v>
      </c>
      <c r="J297" s="3" t="s">
        <v>1144</v>
      </c>
      <c r="K297" s="3" t="s">
        <v>164</v>
      </c>
      <c r="L297" s="3" t="s">
        <v>1150</v>
      </c>
      <c r="M297" s="4" t="s">
        <v>25</v>
      </c>
      <c r="N297" s="4" t="s">
        <v>26</v>
      </c>
    </row>
    <row r="298" spans="1:14" ht="48" x14ac:dyDescent="0.25">
      <c r="A298" s="2" t="s">
        <v>1151</v>
      </c>
      <c r="B298" s="3" t="s">
        <v>1152</v>
      </c>
      <c r="C298" s="2" t="s">
        <v>66</v>
      </c>
      <c r="D298" s="3"/>
      <c r="E298" s="3" t="s">
        <v>1095</v>
      </c>
      <c r="F298" s="3"/>
      <c r="G298" s="4" t="s">
        <v>68</v>
      </c>
      <c r="H298" s="4" t="s">
        <v>68</v>
      </c>
      <c r="I298" s="2" t="s">
        <v>1142</v>
      </c>
      <c r="J298" s="3" t="s">
        <v>1144</v>
      </c>
      <c r="K298" s="3" t="s">
        <v>164</v>
      </c>
      <c r="L298" s="3" t="s">
        <v>1153</v>
      </c>
      <c r="M298" s="4" t="s">
        <v>25</v>
      </c>
      <c r="N298" s="4" t="s">
        <v>26</v>
      </c>
    </row>
    <row r="299" spans="1:14" ht="60" x14ac:dyDescent="0.25">
      <c r="A299" s="2" t="s">
        <v>1154</v>
      </c>
      <c r="B299" s="3" t="s">
        <v>1155</v>
      </c>
      <c r="C299" s="2" t="s">
        <v>1156</v>
      </c>
      <c r="D299" s="3" t="s">
        <v>1157</v>
      </c>
      <c r="E299" s="3" t="s">
        <v>1095</v>
      </c>
      <c r="F299" s="3" t="s">
        <v>164</v>
      </c>
      <c r="G299" s="4" t="s">
        <v>20</v>
      </c>
      <c r="H299" s="4" t="s">
        <v>32</v>
      </c>
      <c r="I299" s="2" t="s">
        <v>1142</v>
      </c>
      <c r="J299" s="3" t="s">
        <v>1144</v>
      </c>
      <c r="K299" s="3" t="s">
        <v>164</v>
      </c>
      <c r="L299" s="3" t="s">
        <v>1158</v>
      </c>
      <c r="M299" s="4" t="s">
        <v>25</v>
      </c>
      <c r="N299" s="4" t="s">
        <v>26</v>
      </c>
    </row>
    <row r="300" spans="1:14" ht="60" x14ac:dyDescent="0.25">
      <c r="A300" s="2" t="s">
        <v>1159</v>
      </c>
      <c r="B300" s="3" t="s">
        <v>1160</v>
      </c>
      <c r="C300" s="2" t="s">
        <v>1161</v>
      </c>
      <c r="D300" s="3" t="s">
        <v>1162</v>
      </c>
      <c r="E300" s="3" t="s">
        <v>1095</v>
      </c>
      <c r="F300" s="3" t="s">
        <v>171</v>
      </c>
      <c r="G300" s="4" t="s">
        <v>32</v>
      </c>
      <c r="H300" s="4" t="s">
        <v>20</v>
      </c>
      <c r="I300" s="2" t="s">
        <v>1142</v>
      </c>
      <c r="J300" s="3" t="s">
        <v>1144</v>
      </c>
      <c r="K300" s="3" t="s">
        <v>164</v>
      </c>
      <c r="L300" s="3" t="s">
        <v>1163</v>
      </c>
      <c r="M300" s="4" t="s">
        <v>25</v>
      </c>
      <c r="N300" s="4" t="s">
        <v>26</v>
      </c>
    </row>
    <row r="301" spans="1:14" ht="60" x14ac:dyDescent="0.25">
      <c r="A301" s="2" t="s">
        <v>1164</v>
      </c>
      <c r="B301" s="3" t="s">
        <v>1165</v>
      </c>
      <c r="C301" s="2" t="s">
        <v>1148</v>
      </c>
      <c r="D301" s="3" t="s">
        <v>1149</v>
      </c>
      <c r="E301" s="3" t="s">
        <v>1095</v>
      </c>
      <c r="F301" s="3" t="s">
        <v>164</v>
      </c>
      <c r="G301" s="4" t="s">
        <v>20</v>
      </c>
      <c r="H301" s="4" t="s">
        <v>32</v>
      </c>
      <c r="I301" s="2" t="s">
        <v>1142</v>
      </c>
      <c r="J301" s="3" t="s">
        <v>1144</v>
      </c>
      <c r="K301" s="3" t="s">
        <v>164</v>
      </c>
      <c r="L301" s="3" t="s">
        <v>1150</v>
      </c>
      <c r="M301" s="4" t="s">
        <v>25</v>
      </c>
      <c r="N301" s="4" t="s">
        <v>26</v>
      </c>
    </row>
    <row r="302" spans="1:14" ht="60" x14ac:dyDescent="0.25">
      <c r="A302" s="2" t="s">
        <v>1166</v>
      </c>
      <c r="B302" s="3" t="s">
        <v>1167</v>
      </c>
      <c r="C302" s="2" t="s">
        <v>1148</v>
      </c>
      <c r="D302" s="3" t="s">
        <v>1149</v>
      </c>
      <c r="E302" s="3" t="s">
        <v>1095</v>
      </c>
      <c r="F302" s="3" t="s">
        <v>164</v>
      </c>
      <c r="G302" s="4" t="s">
        <v>20</v>
      </c>
      <c r="H302" s="4" t="s">
        <v>32</v>
      </c>
      <c r="I302" s="2" t="s">
        <v>1142</v>
      </c>
      <c r="J302" s="3" t="s">
        <v>1144</v>
      </c>
      <c r="K302" s="3" t="s">
        <v>164</v>
      </c>
      <c r="L302" s="3" t="s">
        <v>1150</v>
      </c>
      <c r="M302" s="4" t="s">
        <v>25</v>
      </c>
      <c r="N302" s="4" t="s">
        <v>26</v>
      </c>
    </row>
    <row r="303" spans="1:14" ht="48" x14ac:dyDescent="0.25">
      <c r="A303" s="2" t="s">
        <v>1168</v>
      </c>
      <c r="B303" s="3" t="s">
        <v>1169</v>
      </c>
      <c r="C303" s="2" t="s">
        <v>1142</v>
      </c>
      <c r="D303" s="3" t="s">
        <v>1143</v>
      </c>
      <c r="E303" s="3" t="s">
        <v>1095</v>
      </c>
      <c r="F303" s="3" t="s">
        <v>164</v>
      </c>
      <c r="G303" s="4" t="s">
        <v>32</v>
      </c>
      <c r="H303" s="4" t="s">
        <v>32</v>
      </c>
      <c r="I303" s="2" t="s">
        <v>1142</v>
      </c>
      <c r="J303" s="3" t="s">
        <v>1144</v>
      </c>
      <c r="K303" s="3" t="s">
        <v>164</v>
      </c>
      <c r="L303" s="3" t="s">
        <v>1145</v>
      </c>
      <c r="M303" s="4" t="s">
        <v>25</v>
      </c>
      <c r="N303" s="4" t="s">
        <v>63</v>
      </c>
    </row>
    <row r="304" spans="1:14" ht="60" x14ac:dyDescent="0.25">
      <c r="A304" s="2" t="s">
        <v>1170</v>
      </c>
      <c r="B304" s="3" t="s">
        <v>1171</v>
      </c>
      <c r="C304" s="2" t="s">
        <v>1172</v>
      </c>
      <c r="D304" s="3" t="s">
        <v>1173</v>
      </c>
      <c r="E304" s="3" t="s">
        <v>1095</v>
      </c>
      <c r="F304" s="3" t="s">
        <v>164</v>
      </c>
      <c r="G304" s="4" t="s">
        <v>20</v>
      </c>
      <c r="H304" s="4" t="s">
        <v>32</v>
      </c>
      <c r="I304" s="2" t="s">
        <v>1142</v>
      </c>
      <c r="J304" s="3" t="s">
        <v>1144</v>
      </c>
      <c r="K304" s="3" t="s">
        <v>164</v>
      </c>
      <c r="L304" s="3" t="s">
        <v>1174</v>
      </c>
      <c r="M304" s="4" t="s">
        <v>25</v>
      </c>
      <c r="N304" s="4" t="s">
        <v>26</v>
      </c>
    </row>
    <row r="305" spans="1:14" ht="36" x14ac:dyDescent="0.25">
      <c r="A305" s="2" t="s">
        <v>1175</v>
      </c>
      <c r="B305" s="3" t="s">
        <v>1176</v>
      </c>
      <c r="C305" s="2" t="s">
        <v>66</v>
      </c>
      <c r="D305" s="3"/>
      <c r="E305" s="3" t="s">
        <v>1177</v>
      </c>
      <c r="F305" s="3"/>
      <c r="G305" s="4" t="s">
        <v>68</v>
      </c>
      <c r="H305" s="4" t="s">
        <v>68</v>
      </c>
      <c r="I305" s="2"/>
      <c r="J305" s="3"/>
      <c r="K305" s="3"/>
      <c r="L305" s="3" t="s">
        <v>1178</v>
      </c>
      <c r="M305" s="4" t="s">
        <v>25</v>
      </c>
      <c r="N305" s="4" t="s">
        <v>35</v>
      </c>
    </row>
    <row r="306" spans="1:14" ht="48" x14ac:dyDescent="0.25">
      <c r="A306" s="2" t="s">
        <v>1179</v>
      </c>
      <c r="B306" s="3" t="s">
        <v>1180</v>
      </c>
      <c r="C306" s="2" t="s">
        <v>1142</v>
      </c>
      <c r="D306" s="3" t="s">
        <v>1143</v>
      </c>
      <c r="E306" s="3" t="s">
        <v>1095</v>
      </c>
      <c r="F306" s="3" t="s">
        <v>164</v>
      </c>
      <c r="G306" s="4" t="s">
        <v>32</v>
      </c>
      <c r="H306" s="4" t="s">
        <v>32</v>
      </c>
      <c r="I306" s="2" t="s">
        <v>1142</v>
      </c>
      <c r="J306" s="3" t="s">
        <v>1144</v>
      </c>
      <c r="K306" s="3" t="s">
        <v>164</v>
      </c>
      <c r="L306" s="3" t="s">
        <v>1145</v>
      </c>
      <c r="M306" s="4" t="s">
        <v>25</v>
      </c>
      <c r="N306" s="4" t="s">
        <v>63</v>
      </c>
    </row>
    <row r="307" spans="1:14" ht="60" x14ac:dyDescent="0.25">
      <c r="A307" s="2" t="s">
        <v>1181</v>
      </c>
      <c r="B307" s="3" t="s">
        <v>1182</v>
      </c>
      <c r="C307" s="2" t="s">
        <v>1148</v>
      </c>
      <c r="D307" s="3" t="s">
        <v>1149</v>
      </c>
      <c r="E307" s="3" t="s">
        <v>1095</v>
      </c>
      <c r="F307" s="3" t="s">
        <v>164</v>
      </c>
      <c r="G307" s="4" t="s">
        <v>20</v>
      </c>
      <c r="H307" s="4" t="s">
        <v>32</v>
      </c>
      <c r="I307" s="2" t="s">
        <v>1142</v>
      </c>
      <c r="J307" s="3" t="s">
        <v>1144</v>
      </c>
      <c r="K307" s="3" t="s">
        <v>164</v>
      </c>
      <c r="L307" s="3" t="s">
        <v>1150</v>
      </c>
      <c r="M307" s="4" t="s">
        <v>25</v>
      </c>
      <c r="N307" s="4" t="s">
        <v>26</v>
      </c>
    </row>
    <row r="308" spans="1:14" ht="48" x14ac:dyDescent="0.25">
      <c r="A308" s="2" t="s">
        <v>1183</v>
      </c>
      <c r="B308" s="3" t="s">
        <v>1184</v>
      </c>
      <c r="C308" s="2" t="s">
        <v>1135</v>
      </c>
      <c r="D308" s="3" t="s">
        <v>1136</v>
      </c>
      <c r="E308" s="3" t="s">
        <v>1095</v>
      </c>
      <c r="F308" s="3" t="s">
        <v>164</v>
      </c>
      <c r="G308" s="4" t="s">
        <v>20</v>
      </c>
      <c r="H308" s="4" t="s">
        <v>32</v>
      </c>
      <c r="I308" s="2" t="s">
        <v>1142</v>
      </c>
      <c r="J308" s="3" t="s">
        <v>1144</v>
      </c>
      <c r="K308" s="3" t="s">
        <v>164</v>
      </c>
      <c r="L308" s="3" t="s">
        <v>1185</v>
      </c>
      <c r="M308" s="4" t="s">
        <v>25</v>
      </c>
      <c r="N308" s="4" t="s">
        <v>26</v>
      </c>
    </row>
    <row r="309" spans="1:14" ht="48" x14ac:dyDescent="0.25">
      <c r="A309" s="2" t="s">
        <v>1186</v>
      </c>
      <c r="B309" s="3" t="s">
        <v>1187</v>
      </c>
      <c r="C309" s="2" t="s">
        <v>1135</v>
      </c>
      <c r="D309" s="3" t="s">
        <v>1136</v>
      </c>
      <c r="E309" s="3" t="s">
        <v>1095</v>
      </c>
      <c r="F309" s="3" t="s">
        <v>164</v>
      </c>
      <c r="G309" s="4" t="s">
        <v>20</v>
      </c>
      <c r="H309" s="4" t="s">
        <v>32</v>
      </c>
      <c r="I309" s="2" t="s">
        <v>1142</v>
      </c>
      <c r="J309" s="3" t="s">
        <v>1144</v>
      </c>
      <c r="K309" s="3" t="s">
        <v>164</v>
      </c>
      <c r="L309" s="3" t="s">
        <v>1185</v>
      </c>
      <c r="M309" s="4" t="s">
        <v>25</v>
      </c>
      <c r="N309" s="4" t="s">
        <v>26</v>
      </c>
    </row>
    <row r="310" spans="1:14" ht="60" x14ac:dyDescent="0.25">
      <c r="A310" s="2" t="s">
        <v>1188</v>
      </c>
      <c r="B310" s="3" t="s">
        <v>1189</v>
      </c>
      <c r="C310" s="2" t="s">
        <v>1190</v>
      </c>
      <c r="D310" s="3" t="s">
        <v>1191</v>
      </c>
      <c r="E310" s="3" t="s">
        <v>1095</v>
      </c>
      <c r="F310" s="3" t="s">
        <v>148</v>
      </c>
      <c r="G310" s="4" t="s">
        <v>20</v>
      </c>
      <c r="H310" s="4" t="s">
        <v>20</v>
      </c>
      <c r="I310" s="2" t="s">
        <v>1142</v>
      </c>
      <c r="J310" s="3" t="s">
        <v>1144</v>
      </c>
      <c r="K310" s="3" t="s">
        <v>164</v>
      </c>
      <c r="L310" s="3" t="s">
        <v>1192</v>
      </c>
      <c r="M310" s="4" t="s">
        <v>25</v>
      </c>
      <c r="N310" s="4" t="s">
        <v>26</v>
      </c>
    </row>
    <row r="311" spans="1:14" ht="48" x14ac:dyDescent="0.25">
      <c r="A311" s="2" t="s">
        <v>1193</v>
      </c>
      <c r="B311" s="3" t="s">
        <v>1194</v>
      </c>
      <c r="C311" s="2" t="s">
        <v>1142</v>
      </c>
      <c r="D311" s="3" t="s">
        <v>1143</v>
      </c>
      <c r="E311" s="3" t="s">
        <v>1095</v>
      </c>
      <c r="F311" s="3" t="s">
        <v>164</v>
      </c>
      <c r="G311" s="4" t="s">
        <v>32</v>
      </c>
      <c r="H311" s="4" t="s">
        <v>32</v>
      </c>
      <c r="I311" s="2" t="s">
        <v>1142</v>
      </c>
      <c r="J311" s="3" t="s">
        <v>1144</v>
      </c>
      <c r="K311" s="3" t="s">
        <v>164</v>
      </c>
      <c r="L311" s="3" t="s">
        <v>1145</v>
      </c>
      <c r="M311" s="4" t="s">
        <v>25</v>
      </c>
      <c r="N311" s="4" t="s">
        <v>63</v>
      </c>
    </row>
    <row r="312" spans="1:14" ht="60" x14ac:dyDescent="0.25">
      <c r="A312" s="2" t="s">
        <v>1195</v>
      </c>
      <c r="B312" s="3" t="s">
        <v>1196</v>
      </c>
      <c r="C312" s="2" t="s">
        <v>1148</v>
      </c>
      <c r="D312" s="3" t="s">
        <v>1149</v>
      </c>
      <c r="E312" s="3" t="s">
        <v>1095</v>
      </c>
      <c r="F312" s="3" t="s">
        <v>164</v>
      </c>
      <c r="G312" s="4" t="s">
        <v>20</v>
      </c>
      <c r="H312" s="4" t="s">
        <v>32</v>
      </c>
      <c r="I312" s="2" t="s">
        <v>1142</v>
      </c>
      <c r="J312" s="3" t="s">
        <v>1144</v>
      </c>
      <c r="K312" s="3" t="s">
        <v>164</v>
      </c>
      <c r="L312" s="3" t="s">
        <v>1150</v>
      </c>
      <c r="M312" s="4" t="s">
        <v>25</v>
      </c>
      <c r="N312" s="4" t="s">
        <v>26</v>
      </c>
    </row>
    <row r="313" spans="1:14" ht="36" x14ac:dyDescent="0.25">
      <c r="A313" s="2" t="s">
        <v>1197</v>
      </c>
      <c r="B313" s="3" t="s">
        <v>1198</v>
      </c>
      <c r="C313" s="2" t="s">
        <v>136</v>
      </c>
      <c r="D313" s="3" t="s">
        <v>137</v>
      </c>
      <c r="E313" s="3" t="s">
        <v>1095</v>
      </c>
      <c r="F313" s="3" t="s">
        <v>138</v>
      </c>
      <c r="G313" s="4" t="s">
        <v>32</v>
      </c>
      <c r="H313" s="4" t="s">
        <v>20</v>
      </c>
      <c r="I313" s="2" t="s">
        <v>1156</v>
      </c>
      <c r="J313" s="3" t="s">
        <v>1199</v>
      </c>
      <c r="K313" s="3" t="s">
        <v>164</v>
      </c>
      <c r="L313" s="3" t="s">
        <v>1200</v>
      </c>
      <c r="M313" s="4" t="s">
        <v>25</v>
      </c>
      <c r="N313" s="4" t="s">
        <v>26</v>
      </c>
    </row>
    <row r="314" spans="1:14" ht="36" x14ac:dyDescent="0.25">
      <c r="A314" s="2" t="s">
        <v>1201</v>
      </c>
      <c r="B314" s="3" t="s">
        <v>137</v>
      </c>
      <c r="C314" s="2" t="s">
        <v>136</v>
      </c>
      <c r="D314" s="3" t="s">
        <v>137</v>
      </c>
      <c r="E314" s="3" t="s">
        <v>1095</v>
      </c>
      <c r="F314" s="3" t="s">
        <v>138</v>
      </c>
      <c r="G314" s="4" t="s">
        <v>32</v>
      </c>
      <c r="H314" s="4" t="s">
        <v>20</v>
      </c>
      <c r="I314" s="2" t="s">
        <v>1142</v>
      </c>
      <c r="J314" s="3" t="s">
        <v>1144</v>
      </c>
      <c r="K314" s="3" t="s">
        <v>164</v>
      </c>
      <c r="L314" s="3" t="s">
        <v>1202</v>
      </c>
      <c r="M314" s="4" t="s">
        <v>25</v>
      </c>
      <c r="N314" s="4" t="s">
        <v>26</v>
      </c>
    </row>
    <row r="315" spans="1:14" ht="36" x14ac:dyDescent="0.25">
      <c r="A315" s="2" t="s">
        <v>1203</v>
      </c>
      <c r="B315" s="3" t="s">
        <v>1204</v>
      </c>
      <c r="C315" s="2" t="s">
        <v>1205</v>
      </c>
      <c r="D315" s="3" t="s">
        <v>1206</v>
      </c>
      <c r="E315" s="3" t="s">
        <v>1095</v>
      </c>
      <c r="F315" s="3" t="s">
        <v>41</v>
      </c>
      <c r="G315" s="4" t="s">
        <v>20</v>
      </c>
      <c r="H315" s="4" t="s">
        <v>20</v>
      </c>
      <c r="I315" s="2" t="s">
        <v>1142</v>
      </c>
      <c r="J315" s="3" t="s">
        <v>1144</v>
      </c>
      <c r="K315" s="3" t="s">
        <v>164</v>
      </c>
      <c r="L315" s="3" t="s">
        <v>1207</v>
      </c>
      <c r="M315" s="4" t="s">
        <v>25</v>
      </c>
      <c r="N315" s="4" t="s">
        <v>26</v>
      </c>
    </row>
    <row r="316" spans="1:14" ht="36" x14ac:dyDescent="0.25">
      <c r="A316" s="2" t="s">
        <v>1208</v>
      </c>
      <c r="B316" s="3" t="s">
        <v>1209</v>
      </c>
      <c r="C316" s="2" t="s">
        <v>1210</v>
      </c>
      <c r="D316" s="3" t="s">
        <v>1211</v>
      </c>
      <c r="E316" s="3" t="s">
        <v>1095</v>
      </c>
      <c r="F316" s="3" t="s">
        <v>171</v>
      </c>
      <c r="G316" s="4" t="s">
        <v>32</v>
      </c>
      <c r="H316" s="4" t="s">
        <v>20</v>
      </c>
      <c r="I316" s="2"/>
      <c r="J316" s="3"/>
      <c r="K316" s="3"/>
      <c r="L316" s="3" t="s">
        <v>1212</v>
      </c>
      <c r="M316" s="4" t="s">
        <v>234</v>
      </c>
      <c r="N316" s="4" t="s">
        <v>235</v>
      </c>
    </row>
    <row r="317" spans="1:14" ht="36" x14ac:dyDescent="0.25">
      <c r="A317" s="2" t="s">
        <v>1213</v>
      </c>
      <c r="B317" s="3" t="s">
        <v>1214</v>
      </c>
      <c r="C317" s="2" t="s">
        <v>1215</v>
      </c>
      <c r="D317" s="3" t="s">
        <v>1216</v>
      </c>
      <c r="E317" s="3" t="s">
        <v>1217</v>
      </c>
      <c r="F317" s="3" t="s">
        <v>1218</v>
      </c>
      <c r="G317" s="4" t="s">
        <v>32</v>
      </c>
      <c r="H317" s="4" t="s">
        <v>32</v>
      </c>
      <c r="I317" s="2" t="s">
        <v>1215</v>
      </c>
      <c r="J317" s="3" t="s">
        <v>1219</v>
      </c>
      <c r="K317" s="3" t="s">
        <v>1218</v>
      </c>
      <c r="L317" s="3" t="s">
        <v>1220</v>
      </c>
      <c r="M317" s="4" t="s">
        <v>34</v>
      </c>
      <c r="N317" s="4" t="s">
        <v>63</v>
      </c>
    </row>
    <row r="318" spans="1:14" ht="36" x14ac:dyDescent="0.25">
      <c r="A318" s="2" t="s">
        <v>1221</v>
      </c>
      <c r="B318" s="3" t="s">
        <v>1222</v>
      </c>
      <c r="C318" s="2" t="s">
        <v>1215</v>
      </c>
      <c r="D318" s="3" t="s">
        <v>1216</v>
      </c>
      <c r="E318" s="3" t="s">
        <v>1217</v>
      </c>
      <c r="F318" s="3" t="s">
        <v>1218</v>
      </c>
      <c r="G318" s="4" t="s">
        <v>32</v>
      </c>
      <c r="H318" s="4" t="s">
        <v>32</v>
      </c>
      <c r="I318" s="2" t="s">
        <v>1215</v>
      </c>
      <c r="J318" s="3" t="s">
        <v>1219</v>
      </c>
      <c r="K318" s="3" t="s">
        <v>1218</v>
      </c>
      <c r="L318" s="3" t="s">
        <v>1223</v>
      </c>
      <c r="M318" s="4" t="s">
        <v>25</v>
      </c>
      <c r="N318" s="4" t="s">
        <v>63</v>
      </c>
    </row>
    <row r="319" spans="1:14" ht="48" x14ac:dyDescent="0.25">
      <c r="A319" s="2" t="s">
        <v>1224</v>
      </c>
      <c r="B319" s="3" t="s">
        <v>1225</v>
      </c>
      <c r="C319" s="2" t="s">
        <v>1226</v>
      </c>
      <c r="D319" s="3" t="s">
        <v>1227</v>
      </c>
      <c r="E319" s="3" t="s">
        <v>1217</v>
      </c>
      <c r="F319" s="3" t="s">
        <v>260</v>
      </c>
      <c r="G319" s="4" t="s">
        <v>20</v>
      </c>
      <c r="H319" s="4" t="s">
        <v>20</v>
      </c>
      <c r="I319" s="2" t="s">
        <v>1215</v>
      </c>
      <c r="J319" s="3" t="s">
        <v>1219</v>
      </c>
      <c r="K319" s="3" t="s">
        <v>1218</v>
      </c>
      <c r="L319" s="3" t="s">
        <v>1228</v>
      </c>
      <c r="M319" s="4" t="s">
        <v>25</v>
      </c>
      <c r="N319" s="4" t="s">
        <v>26</v>
      </c>
    </row>
    <row r="320" spans="1:14" ht="36" x14ac:dyDescent="0.25">
      <c r="A320" s="2" t="s">
        <v>1229</v>
      </c>
      <c r="B320" s="3" t="s">
        <v>1230</v>
      </c>
      <c r="C320" s="2" t="s">
        <v>66</v>
      </c>
      <c r="D320" s="3"/>
      <c r="E320" s="3" t="s">
        <v>1217</v>
      </c>
      <c r="F320" s="3"/>
      <c r="G320" s="4" t="s">
        <v>68</v>
      </c>
      <c r="H320" s="4" t="s">
        <v>68</v>
      </c>
      <c r="I320" s="2" t="s">
        <v>1215</v>
      </c>
      <c r="J320" s="3" t="s">
        <v>1219</v>
      </c>
      <c r="K320" s="3" t="s">
        <v>1218</v>
      </c>
      <c r="L320" s="3" t="s">
        <v>1231</v>
      </c>
      <c r="M320" s="4" t="s">
        <v>234</v>
      </c>
      <c r="N320" s="4" t="s">
        <v>235</v>
      </c>
    </row>
    <row r="321" spans="1:14" ht="36" x14ac:dyDescent="0.25">
      <c r="A321" s="2" t="s">
        <v>1232</v>
      </c>
      <c r="B321" s="3" t="s">
        <v>1233</v>
      </c>
      <c r="C321" s="2" t="s">
        <v>66</v>
      </c>
      <c r="D321" s="3"/>
      <c r="E321" s="3" t="s">
        <v>1217</v>
      </c>
      <c r="F321" s="3"/>
      <c r="G321" s="4" t="s">
        <v>68</v>
      </c>
      <c r="H321" s="4" t="s">
        <v>68</v>
      </c>
      <c r="I321" s="2" t="s">
        <v>1215</v>
      </c>
      <c r="J321" s="3" t="s">
        <v>1219</v>
      </c>
      <c r="K321" s="3" t="s">
        <v>1218</v>
      </c>
      <c r="L321" s="3" t="s">
        <v>1234</v>
      </c>
      <c r="M321" s="4" t="s">
        <v>25</v>
      </c>
      <c r="N321" s="4" t="s">
        <v>26</v>
      </c>
    </row>
    <row r="322" spans="1:14" ht="36" x14ac:dyDescent="0.25">
      <c r="A322" s="2" t="s">
        <v>1235</v>
      </c>
      <c r="B322" s="3" t="s">
        <v>1236</v>
      </c>
      <c r="C322" s="2" t="s">
        <v>1237</v>
      </c>
      <c r="D322" s="3" t="s">
        <v>1238</v>
      </c>
      <c r="E322" s="3" t="s">
        <v>1217</v>
      </c>
      <c r="F322" s="3" t="s">
        <v>1239</v>
      </c>
      <c r="G322" s="4" t="s">
        <v>20</v>
      </c>
      <c r="H322" s="4" t="s">
        <v>20</v>
      </c>
      <c r="I322" s="2" t="s">
        <v>1215</v>
      </c>
      <c r="J322" s="3" t="s">
        <v>1219</v>
      </c>
      <c r="K322" s="3" t="s">
        <v>1218</v>
      </c>
      <c r="L322" s="3" t="s">
        <v>1240</v>
      </c>
      <c r="M322" s="4" t="s">
        <v>25</v>
      </c>
      <c r="N322" s="4" t="s">
        <v>26</v>
      </c>
    </row>
    <row r="323" spans="1:14" ht="36" x14ac:dyDescent="0.25">
      <c r="A323" s="2" t="s">
        <v>1241</v>
      </c>
      <c r="B323" s="3" t="s">
        <v>1242</v>
      </c>
      <c r="C323" s="2" t="s">
        <v>66</v>
      </c>
      <c r="D323" s="3"/>
      <c r="E323" s="3" t="s">
        <v>1217</v>
      </c>
      <c r="F323" s="3"/>
      <c r="G323" s="4" t="s">
        <v>68</v>
      </c>
      <c r="H323" s="4" t="s">
        <v>68</v>
      </c>
      <c r="I323" s="2" t="s">
        <v>1215</v>
      </c>
      <c r="J323" s="3" t="s">
        <v>1219</v>
      </c>
      <c r="K323" s="3" t="s">
        <v>1218</v>
      </c>
      <c r="L323" s="3" t="s">
        <v>1243</v>
      </c>
      <c r="M323" s="4" t="s">
        <v>34</v>
      </c>
      <c r="N323" s="4" t="s">
        <v>26</v>
      </c>
    </row>
    <row r="324" spans="1:14" ht="36" x14ac:dyDescent="0.25">
      <c r="A324" s="2" t="s">
        <v>1244</v>
      </c>
      <c r="B324" s="3" t="s">
        <v>1245</v>
      </c>
      <c r="C324" s="2" t="s">
        <v>66</v>
      </c>
      <c r="D324" s="3"/>
      <c r="E324" s="3" t="s">
        <v>1217</v>
      </c>
      <c r="F324" s="3"/>
      <c r="G324" s="4" t="s">
        <v>68</v>
      </c>
      <c r="H324" s="4" t="s">
        <v>68</v>
      </c>
      <c r="I324" s="2" t="s">
        <v>1215</v>
      </c>
      <c r="J324" s="3" t="s">
        <v>1219</v>
      </c>
      <c r="K324" s="3" t="s">
        <v>1218</v>
      </c>
      <c r="L324" s="3" t="s">
        <v>1246</v>
      </c>
      <c r="M324" s="4" t="s">
        <v>25</v>
      </c>
      <c r="N324" s="4" t="s">
        <v>26</v>
      </c>
    </row>
    <row r="325" spans="1:14" ht="36" x14ac:dyDescent="0.25">
      <c r="A325" s="2" t="s">
        <v>1247</v>
      </c>
      <c r="B325" s="3" t="s">
        <v>1248</v>
      </c>
      <c r="C325" s="2" t="s">
        <v>1249</v>
      </c>
      <c r="D325" s="3" t="s">
        <v>1248</v>
      </c>
      <c r="E325" s="3" t="s">
        <v>1217</v>
      </c>
      <c r="F325" s="3" t="s">
        <v>1218</v>
      </c>
      <c r="G325" s="4" t="s">
        <v>32</v>
      </c>
      <c r="H325" s="4" t="s">
        <v>32</v>
      </c>
      <c r="I325" s="2" t="s">
        <v>1249</v>
      </c>
      <c r="J325" s="3" t="s">
        <v>1250</v>
      </c>
      <c r="K325" s="3" t="s">
        <v>1218</v>
      </c>
      <c r="L325" s="3" t="s">
        <v>1251</v>
      </c>
      <c r="M325" s="4" t="s">
        <v>34</v>
      </c>
      <c r="N325" s="4" t="s">
        <v>63</v>
      </c>
    </row>
    <row r="326" spans="1:14" ht="48" x14ac:dyDescent="0.25">
      <c r="A326" s="2" t="s">
        <v>1252</v>
      </c>
      <c r="B326" s="3" t="s">
        <v>1253</v>
      </c>
      <c r="C326" s="2" t="s">
        <v>66</v>
      </c>
      <c r="D326" s="3"/>
      <c r="E326" s="3" t="s">
        <v>1254</v>
      </c>
      <c r="F326" s="3"/>
      <c r="G326" s="4" t="s">
        <v>68</v>
      </c>
      <c r="H326" s="4" t="s">
        <v>68</v>
      </c>
      <c r="I326" s="2" t="s">
        <v>1255</v>
      </c>
      <c r="J326" s="3" t="s">
        <v>1256</v>
      </c>
      <c r="K326" s="3" t="s">
        <v>1257</v>
      </c>
      <c r="L326" s="3" t="s">
        <v>1258</v>
      </c>
      <c r="M326" s="4" t="s">
        <v>25</v>
      </c>
      <c r="N326" s="4" t="s">
        <v>26</v>
      </c>
    </row>
    <row r="327" spans="1:14" ht="48" x14ac:dyDescent="0.25">
      <c r="A327" s="2" t="s">
        <v>1259</v>
      </c>
      <c r="B327" s="3" t="s">
        <v>1260</v>
      </c>
      <c r="C327" s="2" t="s">
        <v>1261</v>
      </c>
      <c r="D327" s="3" t="s">
        <v>1262</v>
      </c>
      <c r="E327" s="3" t="s">
        <v>1254</v>
      </c>
      <c r="F327" s="3" t="s">
        <v>138</v>
      </c>
      <c r="G327" s="4" t="s">
        <v>32</v>
      </c>
      <c r="H327" s="4" t="s">
        <v>20</v>
      </c>
      <c r="I327" s="2" t="s">
        <v>1255</v>
      </c>
      <c r="J327" s="3" t="s">
        <v>1256</v>
      </c>
      <c r="K327" s="3" t="s">
        <v>1257</v>
      </c>
      <c r="L327" s="3" t="s">
        <v>1263</v>
      </c>
      <c r="M327" s="4" t="s">
        <v>25</v>
      </c>
      <c r="N327" s="4" t="s">
        <v>26</v>
      </c>
    </row>
    <row r="328" spans="1:14" ht="48" x14ac:dyDescent="0.25">
      <c r="A328" s="2" t="s">
        <v>1264</v>
      </c>
      <c r="B328" s="3" t="s">
        <v>1265</v>
      </c>
      <c r="C328" s="2" t="s">
        <v>1266</v>
      </c>
      <c r="D328" s="3" t="s">
        <v>1267</v>
      </c>
      <c r="E328" s="3" t="s">
        <v>1254</v>
      </c>
      <c r="F328" s="3" t="s">
        <v>41</v>
      </c>
      <c r="G328" s="4" t="s">
        <v>20</v>
      </c>
      <c r="H328" s="4" t="s">
        <v>20</v>
      </c>
      <c r="I328" s="2" t="s">
        <v>1255</v>
      </c>
      <c r="J328" s="3" t="s">
        <v>1256</v>
      </c>
      <c r="K328" s="3" t="s">
        <v>1257</v>
      </c>
      <c r="L328" s="3" t="s">
        <v>1268</v>
      </c>
      <c r="M328" s="4" t="s">
        <v>25</v>
      </c>
      <c r="N328" s="4" t="s">
        <v>26</v>
      </c>
    </row>
    <row r="329" spans="1:14" ht="36" x14ac:dyDescent="0.25">
      <c r="A329" s="2" t="s">
        <v>1269</v>
      </c>
      <c r="B329" s="3" t="s">
        <v>1270</v>
      </c>
      <c r="C329" s="2" t="s">
        <v>66</v>
      </c>
      <c r="D329" s="3"/>
      <c r="E329" s="3" t="s">
        <v>1254</v>
      </c>
      <c r="F329" s="3"/>
      <c r="G329" s="4" t="s">
        <v>68</v>
      </c>
      <c r="H329" s="4" t="s">
        <v>68</v>
      </c>
      <c r="I329" s="2" t="s">
        <v>1255</v>
      </c>
      <c r="J329" s="3" t="s">
        <v>1256</v>
      </c>
      <c r="K329" s="3" t="s">
        <v>1257</v>
      </c>
      <c r="L329" s="3" t="s">
        <v>1271</v>
      </c>
      <c r="M329" s="4" t="s">
        <v>25</v>
      </c>
      <c r="N329" s="4" t="s">
        <v>26</v>
      </c>
    </row>
    <row r="330" spans="1:14" ht="36" x14ac:dyDescent="0.25">
      <c r="A330" s="2" t="s">
        <v>1272</v>
      </c>
      <c r="B330" s="3" t="s">
        <v>1273</v>
      </c>
      <c r="C330" s="2" t="s">
        <v>66</v>
      </c>
      <c r="D330" s="3"/>
      <c r="E330" s="3" t="s">
        <v>1254</v>
      </c>
      <c r="F330" s="3"/>
      <c r="G330" s="4" t="s">
        <v>68</v>
      </c>
      <c r="H330" s="4" t="s">
        <v>68</v>
      </c>
      <c r="I330" s="2" t="s">
        <v>1255</v>
      </c>
      <c r="J330" s="3" t="s">
        <v>1256</v>
      </c>
      <c r="K330" s="3" t="s">
        <v>1257</v>
      </c>
      <c r="L330" s="3" t="s">
        <v>1271</v>
      </c>
      <c r="M330" s="4" t="s">
        <v>25</v>
      </c>
      <c r="N330" s="4" t="s">
        <v>26</v>
      </c>
    </row>
    <row r="331" spans="1:14" ht="60" x14ac:dyDescent="0.25">
      <c r="A331" s="2" t="s">
        <v>1274</v>
      </c>
      <c r="B331" s="3" t="s">
        <v>1275</v>
      </c>
      <c r="C331" s="2" t="s">
        <v>1276</v>
      </c>
      <c r="D331" s="3" t="s">
        <v>1277</v>
      </c>
      <c r="E331" s="3" t="s">
        <v>1254</v>
      </c>
      <c r="F331" s="3" t="s">
        <v>499</v>
      </c>
      <c r="G331" s="4" t="s">
        <v>20</v>
      </c>
      <c r="H331" s="4" t="s">
        <v>20</v>
      </c>
      <c r="I331" s="2" t="s">
        <v>1255</v>
      </c>
      <c r="J331" s="3" t="s">
        <v>1256</v>
      </c>
      <c r="K331" s="3" t="s">
        <v>1257</v>
      </c>
      <c r="L331" s="3" t="s">
        <v>1278</v>
      </c>
      <c r="M331" s="4" t="s">
        <v>25</v>
      </c>
      <c r="N331" s="4" t="s">
        <v>26</v>
      </c>
    </row>
    <row r="332" spans="1:14" ht="36" x14ac:dyDescent="0.25">
      <c r="A332" s="2" t="s">
        <v>1279</v>
      </c>
      <c r="B332" s="3" t="s">
        <v>1280</v>
      </c>
      <c r="C332" s="2" t="s">
        <v>1255</v>
      </c>
      <c r="D332" s="3" t="s">
        <v>1281</v>
      </c>
      <c r="E332" s="3" t="s">
        <v>1254</v>
      </c>
      <c r="F332" s="3" t="s">
        <v>1257</v>
      </c>
      <c r="G332" s="4" t="s">
        <v>32</v>
      </c>
      <c r="H332" s="4" t="s">
        <v>32</v>
      </c>
      <c r="I332" s="2" t="s">
        <v>1255</v>
      </c>
      <c r="J332" s="3" t="s">
        <v>1256</v>
      </c>
      <c r="K332" s="3" t="s">
        <v>1257</v>
      </c>
      <c r="L332" s="3" t="s">
        <v>1282</v>
      </c>
      <c r="M332" s="4" t="s">
        <v>25</v>
      </c>
      <c r="N332" s="4" t="s">
        <v>63</v>
      </c>
    </row>
    <row r="333" spans="1:14" ht="36" x14ac:dyDescent="0.25">
      <c r="A333" s="2" t="s">
        <v>1283</v>
      </c>
      <c r="B333" s="3" t="s">
        <v>1284</v>
      </c>
      <c r="C333" s="2" t="s">
        <v>1255</v>
      </c>
      <c r="D333" s="3" t="s">
        <v>1281</v>
      </c>
      <c r="E333" s="3" t="s">
        <v>1254</v>
      </c>
      <c r="F333" s="3" t="s">
        <v>1257</v>
      </c>
      <c r="G333" s="4" t="s">
        <v>32</v>
      </c>
      <c r="H333" s="4" t="s">
        <v>32</v>
      </c>
      <c r="I333" s="2" t="s">
        <v>1255</v>
      </c>
      <c r="J333" s="3" t="s">
        <v>1256</v>
      </c>
      <c r="K333" s="3" t="s">
        <v>1257</v>
      </c>
      <c r="L333" s="3" t="s">
        <v>1282</v>
      </c>
      <c r="M333" s="4" t="s">
        <v>25</v>
      </c>
      <c r="N333" s="4" t="s">
        <v>63</v>
      </c>
    </row>
    <row r="334" spans="1:14" ht="36" x14ac:dyDescent="0.25">
      <c r="A334" s="2" t="s">
        <v>1285</v>
      </c>
      <c r="B334" s="3" t="s">
        <v>1286</v>
      </c>
      <c r="C334" s="2" t="s">
        <v>66</v>
      </c>
      <c r="D334" s="3"/>
      <c r="E334" s="3" t="s">
        <v>1254</v>
      </c>
      <c r="F334" s="3"/>
      <c r="G334" s="4" t="s">
        <v>68</v>
      </c>
      <c r="H334" s="4" t="s">
        <v>68</v>
      </c>
      <c r="I334" s="2" t="s">
        <v>1255</v>
      </c>
      <c r="J334" s="3" t="s">
        <v>1256</v>
      </c>
      <c r="K334" s="3" t="s">
        <v>1257</v>
      </c>
      <c r="L334" s="3" t="s">
        <v>1271</v>
      </c>
      <c r="M334" s="4" t="s">
        <v>25</v>
      </c>
      <c r="N334" s="4" t="s">
        <v>26</v>
      </c>
    </row>
    <row r="335" spans="1:14" ht="36" x14ac:dyDescent="0.25">
      <c r="A335" s="2" t="s">
        <v>1287</v>
      </c>
      <c r="B335" s="3" t="s">
        <v>1288</v>
      </c>
      <c r="C335" s="2" t="s">
        <v>66</v>
      </c>
      <c r="D335" s="3"/>
      <c r="E335" s="3" t="s">
        <v>1254</v>
      </c>
      <c r="F335" s="3"/>
      <c r="G335" s="4" t="s">
        <v>68</v>
      </c>
      <c r="H335" s="4" t="s">
        <v>68</v>
      </c>
      <c r="I335" s="2" t="s">
        <v>1255</v>
      </c>
      <c r="J335" s="3" t="s">
        <v>1256</v>
      </c>
      <c r="K335" s="3" t="s">
        <v>1257</v>
      </c>
      <c r="L335" s="3" t="s">
        <v>1271</v>
      </c>
      <c r="M335" s="4" t="s">
        <v>25</v>
      </c>
      <c r="N335" s="4" t="s">
        <v>26</v>
      </c>
    </row>
    <row r="336" spans="1:14" ht="36" x14ac:dyDescent="0.25">
      <c r="A336" s="2" t="s">
        <v>1289</v>
      </c>
      <c r="B336" s="3" t="s">
        <v>1290</v>
      </c>
      <c r="C336" s="2" t="s">
        <v>66</v>
      </c>
      <c r="D336" s="3"/>
      <c r="E336" s="3" t="s">
        <v>1254</v>
      </c>
      <c r="F336" s="3"/>
      <c r="G336" s="4" t="s">
        <v>68</v>
      </c>
      <c r="H336" s="4" t="s">
        <v>68</v>
      </c>
      <c r="I336" s="2" t="s">
        <v>1255</v>
      </c>
      <c r="J336" s="3" t="s">
        <v>1256</v>
      </c>
      <c r="K336" s="3" t="s">
        <v>1257</v>
      </c>
      <c r="L336" s="3" t="s">
        <v>1271</v>
      </c>
      <c r="M336" s="4" t="s">
        <v>25</v>
      </c>
      <c r="N336" s="4" t="s">
        <v>26</v>
      </c>
    </row>
    <row r="337" spans="1:14" ht="36" x14ac:dyDescent="0.25">
      <c r="A337" s="2" t="s">
        <v>1291</v>
      </c>
      <c r="B337" s="3" t="s">
        <v>1292</v>
      </c>
      <c r="C337" s="2" t="s">
        <v>66</v>
      </c>
      <c r="D337" s="3"/>
      <c r="E337" s="3" t="s">
        <v>1254</v>
      </c>
      <c r="F337" s="3"/>
      <c r="G337" s="4" t="s">
        <v>68</v>
      </c>
      <c r="H337" s="4" t="s">
        <v>68</v>
      </c>
      <c r="I337" s="2" t="s">
        <v>1255</v>
      </c>
      <c r="J337" s="3" t="s">
        <v>1256</v>
      </c>
      <c r="K337" s="3" t="s">
        <v>1257</v>
      </c>
      <c r="L337" s="3" t="s">
        <v>1271</v>
      </c>
      <c r="M337" s="4" t="s">
        <v>25</v>
      </c>
      <c r="N337" s="4" t="s">
        <v>26</v>
      </c>
    </row>
    <row r="338" spans="1:14" ht="36" x14ac:dyDescent="0.25">
      <c r="A338" s="2" t="s">
        <v>1293</v>
      </c>
      <c r="B338" s="3" t="s">
        <v>1294</v>
      </c>
      <c r="C338" s="2" t="s">
        <v>66</v>
      </c>
      <c r="D338" s="3"/>
      <c r="E338" s="3" t="s">
        <v>1295</v>
      </c>
      <c r="F338" s="3"/>
      <c r="G338" s="4" t="s">
        <v>68</v>
      </c>
      <c r="H338" s="4" t="s">
        <v>68</v>
      </c>
      <c r="I338" s="2" t="s">
        <v>1296</v>
      </c>
      <c r="J338" s="3" t="s">
        <v>1297</v>
      </c>
      <c r="K338" s="3" t="s">
        <v>594</v>
      </c>
      <c r="L338" s="3" t="s">
        <v>1298</v>
      </c>
      <c r="M338" s="4" t="s">
        <v>25</v>
      </c>
      <c r="N338" s="4" t="s">
        <v>26</v>
      </c>
    </row>
    <row r="339" spans="1:14" ht="36" x14ac:dyDescent="0.25">
      <c r="A339" s="2" t="s">
        <v>1299</v>
      </c>
      <c r="B339" s="3" t="s">
        <v>1300</v>
      </c>
      <c r="C339" s="2" t="s">
        <v>1301</v>
      </c>
      <c r="D339" s="3" t="s">
        <v>1302</v>
      </c>
      <c r="E339" s="3" t="s">
        <v>1303</v>
      </c>
      <c r="F339" s="3" t="s">
        <v>499</v>
      </c>
      <c r="G339" s="4" t="s">
        <v>32</v>
      </c>
      <c r="H339" s="4" t="s">
        <v>20</v>
      </c>
      <c r="I339" s="2" t="s">
        <v>1296</v>
      </c>
      <c r="J339" s="3" t="s">
        <v>1297</v>
      </c>
      <c r="K339" s="3" t="s">
        <v>594</v>
      </c>
      <c r="L339" s="3" t="s">
        <v>1304</v>
      </c>
      <c r="M339" s="4" t="s">
        <v>34</v>
      </c>
      <c r="N339" s="4" t="s">
        <v>26</v>
      </c>
    </row>
    <row r="340" spans="1:14" ht="48" x14ac:dyDescent="0.25">
      <c r="A340" s="2" t="s">
        <v>1305</v>
      </c>
      <c r="B340" s="3" t="s">
        <v>1306</v>
      </c>
      <c r="C340" s="2" t="s">
        <v>1307</v>
      </c>
      <c r="D340" s="3" t="s">
        <v>1308</v>
      </c>
      <c r="E340" s="3" t="s">
        <v>1309</v>
      </c>
      <c r="F340" s="3" t="s">
        <v>499</v>
      </c>
      <c r="G340" s="4" t="s">
        <v>32</v>
      </c>
      <c r="H340" s="4" t="s">
        <v>20</v>
      </c>
      <c r="I340" s="2" t="s">
        <v>1255</v>
      </c>
      <c r="J340" s="3" t="s">
        <v>1256</v>
      </c>
      <c r="K340" s="3" t="s">
        <v>1257</v>
      </c>
      <c r="L340" s="3" t="s">
        <v>1310</v>
      </c>
      <c r="M340" s="4" t="s">
        <v>25</v>
      </c>
      <c r="N340" s="4" t="s">
        <v>26</v>
      </c>
    </row>
    <row r="341" spans="1:14" ht="48" x14ac:dyDescent="0.25">
      <c r="A341" s="2" t="s">
        <v>1311</v>
      </c>
      <c r="B341" s="3" t="s">
        <v>1312</v>
      </c>
      <c r="C341" s="2" t="s">
        <v>66</v>
      </c>
      <c r="D341" s="3"/>
      <c r="E341" s="3" t="s">
        <v>1313</v>
      </c>
      <c r="F341" s="3"/>
      <c r="G341" s="4" t="s">
        <v>68</v>
      </c>
      <c r="H341" s="4" t="s">
        <v>68</v>
      </c>
      <c r="I341" s="2" t="s">
        <v>1314</v>
      </c>
      <c r="J341" s="3" t="s">
        <v>1315</v>
      </c>
      <c r="K341" s="3" t="s">
        <v>1316</v>
      </c>
      <c r="L341" s="3" t="s">
        <v>1317</v>
      </c>
      <c r="M341" s="4" t="s">
        <v>25</v>
      </c>
      <c r="N341" s="4" t="s">
        <v>26</v>
      </c>
    </row>
    <row r="342" spans="1:14" ht="48" x14ac:dyDescent="0.25">
      <c r="A342" s="2" t="s">
        <v>1318</v>
      </c>
      <c r="B342" s="3" t="s">
        <v>1319</v>
      </c>
      <c r="C342" s="2" t="s">
        <v>1314</v>
      </c>
      <c r="D342" s="3" t="s">
        <v>1320</v>
      </c>
      <c r="E342" s="3" t="s">
        <v>1313</v>
      </c>
      <c r="F342" s="3" t="s">
        <v>1316</v>
      </c>
      <c r="G342" s="4" t="s">
        <v>20</v>
      </c>
      <c r="H342" s="4" t="s">
        <v>32</v>
      </c>
      <c r="I342" s="2" t="s">
        <v>1321</v>
      </c>
      <c r="J342" s="3" t="s">
        <v>1322</v>
      </c>
      <c r="K342" s="3" t="s">
        <v>1323</v>
      </c>
      <c r="L342" s="3" t="s">
        <v>1324</v>
      </c>
      <c r="M342" s="4" t="s">
        <v>25</v>
      </c>
      <c r="N342" s="4" t="s">
        <v>26</v>
      </c>
    </row>
    <row r="343" spans="1:14" ht="48" x14ac:dyDescent="0.25">
      <c r="A343" s="2" t="s">
        <v>1325</v>
      </c>
      <c r="B343" s="3" t="s">
        <v>1326</v>
      </c>
      <c r="C343" s="2" t="s">
        <v>66</v>
      </c>
      <c r="D343" s="3"/>
      <c r="E343" s="3" t="s">
        <v>1313</v>
      </c>
      <c r="F343" s="3"/>
      <c r="G343" s="4" t="s">
        <v>68</v>
      </c>
      <c r="H343" s="4" t="s">
        <v>68</v>
      </c>
      <c r="I343" s="2" t="s">
        <v>1314</v>
      </c>
      <c r="J343" s="3" t="s">
        <v>1315</v>
      </c>
      <c r="K343" s="3" t="s">
        <v>1316</v>
      </c>
      <c r="L343" s="3" t="s">
        <v>1327</v>
      </c>
      <c r="M343" s="4" t="s">
        <v>25</v>
      </c>
      <c r="N343" s="4" t="s">
        <v>26</v>
      </c>
    </row>
    <row r="344" spans="1:14" ht="48" x14ac:dyDescent="0.25">
      <c r="A344" s="2" t="s">
        <v>1328</v>
      </c>
      <c r="B344" s="3" t="s">
        <v>1329</v>
      </c>
      <c r="C344" s="2" t="s">
        <v>66</v>
      </c>
      <c r="D344" s="3"/>
      <c r="E344" s="3" t="s">
        <v>1313</v>
      </c>
      <c r="F344" s="3"/>
      <c r="G344" s="4" t="s">
        <v>68</v>
      </c>
      <c r="H344" s="4" t="s">
        <v>68</v>
      </c>
      <c r="I344" s="2" t="s">
        <v>1314</v>
      </c>
      <c r="J344" s="3" t="s">
        <v>1315</v>
      </c>
      <c r="K344" s="3" t="s">
        <v>1316</v>
      </c>
      <c r="L344" s="3" t="s">
        <v>1327</v>
      </c>
      <c r="M344" s="4" t="s">
        <v>25</v>
      </c>
      <c r="N344" s="4" t="s">
        <v>26</v>
      </c>
    </row>
    <row r="345" spans="1:14" ht="48" x14ac:dyDescent="0.25">
      <c r="A345" s="2" t="s">
        <v>1330</v>
      </c>
      <c r="B345" s="3" t="s">
        <v>1331</v>
      </c>
      <c r="C345" s="2" t="s">
        <v>66</v>
      </c>
      <c r="D345" s="3"/>
      <c r="E345" s="3" t="s">
        <v>1313</v>
      </c>
      <c r="F345" s="3"/>
      <c r="G345" s="4" t="s">
        <v>68</v>
      </c>
      <c r="H345" s="4" t="s">
        <v>68</v>
      </c>
      <c r="I345" s="2" t="s">
        <v>1332</v>
      </c>
      <c r="J345" s="3" t="s">
        <v>1333</v>
      </c>
      <c r="K345" s="3" t="s">
        <v>1334</v>
      </c>
      <c r="L345" s="3" t="s">
        <v>1335</v>
      </c>
      <c r="M345" s="4" t="s">
        <v>25</v>
      </c>
      <c r="N345" s="4" t="s">
        <v>26</v>
      </c>
    </row>
    <row r="346" spans="1:14" ht="48" x14ac:dyDescent="0.25">
      <c r="A346" s="2" t="s">
        <v>1336</v>
      </c>
      <c r="B346" s="3" t="s">
        <v>1337</v>
      </c>
      <c r="C346" s="2" t="s">
        <v>1338</v>
      </c>
      <c r="D346" s="3" t="s">
        <v>1339</v>
      </c>
      <c r="E346" s="3" t="s">
        <v>1313</v>
      </c>
      <c r="F346" s="3" t="s">
        <v>171</v>
      </c>
      <c r="G346" s="4" t="s">
        <v>32</v>
      </c>
      <c r="H346" s="4" t="s">
        <v>20</v>
      </c>
      <c r="I346" s="2" t="s">
        <v>1340</v>
      </c>
      <c r="J346" s="3" t="s">
        <v>1341</v>
      </c>
      <c r="K346" s="3" t="s">
        <v>1316</v>
      </c>
      <c r="L346" s="3" t="s">
        <v>1342</v>
      </c>
      <c r="M346" s="4" t="s">
        <v>25</v>
      </c>
      <c r="N346" s="4" t="s">
        <v>26</v>
      </c>
    </row>
    <row r="347" spans="1:14" ht="48" x14ac:dyDescent="0.25">
      <c r="A347" s="2" t="s">
        <v>1343</v>
      </c>
      <c r="B347" s="3" t="s">
        <v>1344</v>
      </c>
      <c r="C347" s="2" t="s">
        <v>1345</v>
      </c>
      <c r="D347" s="3" t="s">
        <v>1346</v>
      </c>
      <c r="E347" s="3" t="s">
        <v>1313</v>
      </c>
      <c r="F347" s="3" t="s">
        <v>171</v>
      </c>
      <c r="G347" s="4" t="s">
        <v>20</v>
      </c>
      <c r="H347" s="4" t="s">
        <v>20</v>
      </c>
      <c r="I347" s="2" t="s">
        <v>1340</v>
      </c>
      <c r="J347" s="3" t="s">
        <v>1341</v>
      </c>
      <c r="K347" s="3" t="s">
        <v>1316</v>
      </c>
      <c r="L347" s="3" t="s">
        <v>1347</v>
      </c>
      <c r="M347" s="4" t="s">
        <v>25</v>
      </c>
      <c r="N347" s="4" t="s">
        <v>26</v>
      </c>
    </row>
    <row r="348" spans="1:14" ht="48" x14ac:dyDescent="0.25">
      <c r="A348" s="2" t="s">
        <v>1348</v>
      </c>
      <c r="B348" s="3" t="s">
        <v>1349</v>
      </c>
      <c r="C348" s="2" t="s">
        <v>66</v>
      </c>
      <c r="D348" s="3"/>
      <c r="E348" s="3" t="s">
        <v>1350</v>
      </c>
      <c r="F348" s="3"/>
      <c r="G348" s="4" t="s">
        <v>68</v>
      </c>
      <c r="H348" s="4" t="s">
        <v>68</v>
      </c>
      <c r="I348" s="2" t="s">
        <v>1340</v>
      </c>
      <c r="J348" s="3" t="s">
        <v>1341</v>
      </c>
      <c r="K348" s="3" t="s">
        <v>1316</v>
      </c>
      <c r="L348" s="3" t="s">
        <v>1351</v>
      </c>
      <c r="M348" s="4" t="s">
        <v>25</v>
      </c>
      <c r="N348" s="4" t="s">
        <v>26</v>
      </c>
    </row>
    <row r="349" spans="1:14" ht="48" x14ac:dyDescent="0.25">
      <c r="A349" s="2" t="s">
        <v>1352</v>
      </c>
      <c r="B349" s="3" t="s">
        <v>1353</v>
      </c>
      <c r="C349" s="2" t="s">
        <v>66</v>
      </c>
      <c r="D349" s="3"/>
      <c r="E349" s="3" t="s">
        <v>1350</v>
      </c>
      <c r="F349" s="3"/>
      <c r="G349" s="4" t="s">
        <v>68</v>
      </c>
      <c r="H349" s="4" t="s">
        <v>68</v>
      </c>
      <c r="I349" s="2" t="s">
        <v>1340</v>
      </c>
      <c r="J349" s="3" t="s">
        <v>1341</v>
      </c>
      <c r="K349" s="3" t="s">
        <v>1316</v>
      </c>
      <c r="L349" s="3" t="s">
        <v>1351</v>
      </c>
      <c r="M349" s="4" t="s">
        <v>25</v>
      </c>
      <c r="N349" s="4" t="s">
        <v>26</v>
      </c>
    </row>
    <row r="350" spans="1:14" ht="48" x14ac:dyDescent="0.25">
      <c r="A350" s="2" t="s">
        <v>1354</v>
      </c>
      <c r="B350" s="3" t="s">
        <v>1355</v>
      </c>
      <c r="C350" s="2" t="s">
        <v>66</v>
      </c>
      <c r="D350" s="3"/>
      <c r="E350" s="3" t="s">
        <v>1350</v>
      </c>
      <c r="F350" s="3"/>
      <c r="G350" s="4" t="s">
        <v>68</v>
      </c>
      <c r="H350" s="4" t="s">
        <v>68</v>
      </c>
      <c r="I350" s="2" t="s">
        <v>1340</v>
      </c>
      <c r="J350" s="3" t="s">
        <v>1341</v>
      </c>
      <c r="K350" s="3" t="s">
        <v>1316</v>
      </c>
      <c r="L350" s="3" t="s">
        <v>1351</v>
      </c>
      <c r="M350" s="4" t="s">
        <v>25</v>
      </c>
      <c r="N350" s="4" t="s">
        <v>26</v>
      </c>
    </row>
    <row r="351" spans="1:14" ht="36" x14ac:dyDescent="0.25">
      <c r="A351" s="2" t="s">
        <v>1356</v>
      </c>
      <c r="B351" s="3" t="s">
        <v>1357</v>
      </c>
      <c r="C351" s="2" t="s">
        <v>66</v>
      </c>
      <c r="D351" s="3"/>
      <c r="E351" s="3" t="s">
        <v>1350</v>
      </c>
      <c r="F351" s="3"/>
      <c r="G351" s="4" t="s">
        <v>68</v>
      </c>
      <c r="H351" s="4" t="s">
        <v>68</v>
      </c>
      <c r="I351" s="2"/>
      <c r="J351" s="3"/>
      <c r="K351" s="3"/>
      <c r="L351" s="3" t="s">
        <v>1358</v>
      </c>
      <c r="M351" s="4" t="s">
        <v>25</v>
      </c>
      <c r="N351" s="4" t="s">
        <v>35</v>
      </c>
    </row>
    <row r="352" spans="1:14" ht="48" x14ac:dyDescent="0.25">
      <c r="A352" s="2" t="s">
        <v>1359</v>
      </c>
      <c r="B352" s="3" t="s">
        <v>1360</v>
      </c>
      <c r="C352" s="2" t="s">
        <v>1361</v>
      </c>
      <c r="D352" s="3" t="s">
        <v>1362</v>
      </c>
      <c r="E352" s="3" t="s">
        <v>1350</v>
      </c>
      <c r="F352" s="3" t="s">
        <v>1363</v>
      </c>
      <c r="G352" s="4" t="s">
        <v>20</v>
      </c>
      <c r="H352" s="4" t="s">
        <v>20</v>
      </c>
      <c r="I352" s="2" t="s">
        <v>1340</v>
      </c>
      <c r="J352" s="3" t="s">
        <v>1341</v>
      </c>
      <c r="K352" s="3" t="s">
        <v>1316</v>
      </c>
      <c r="L352" s="3" t="s">
        <v>1364</v>
      </c>
      <c r="M352" s="4" t="s">
        <v>25</v>
      </c>
      <c r="N352" s="4" t="s">
        <v>26</v>
      </c>
    </row>
    <row r="353" spans="1:14" ht="48" x14ac:dyDescent="0.25">
      <c r="A353" s="2" t="s">
        <v>1365</v>
      </c>
      <c r="B353" s="3" t="s">
        <v>1366</v>
      </c>
      <c r="C353" s="2" t="s">
        <v>66</v>
      </c>
      <c r="D353" s="3"/>
      <c r="E353" s="3" t="s">
        <v>1350</v>
      </c>
      <c r="F353" s="3"/>
      <c r="G353" s="4" t="s">
        <v>68</v>
      </c>
      <c r="H353" s="4" t="s">
        <v>68</v>
      </c>
      <c r="I353" s="2" t="s">
        <v>1340</v>
      </c>
      <c r="J353" s="3" t="s">
        <v>1341</v>
      </c>
      <c r="K353" s="3" t="s">
        <v>1316</v>
      </c>
      <c r="L353" s="3" t="s">
        <v>1351</v>
      </c>
      <c r="M353" s="4" t="s">
        <v>25</v>
      </c>
      <c r="N353" s="4" t="s">
        <v>26</v>
      </c>
    </row>
    <row r="354" spans="1:14" ht="48" x14ac:dyDescent="0.25">
      <c r="A354" s="2" t="s">
        <v>1367</v>
      </c>
      <c r="B354" s="3" t="s">
        <v>1368</v>
      </c>
      <c r="C354" s="2" t="s">
        <v>1369</v>
      </c>
      <c r="D354" s="3" t="s">
        <v>1370</v>
      </c>
      <c r="E354" s="3" t="s">
        <v>1371</v>
      </c>
      <c r="F354" s="3" t="s">
        <v>1372</v>
      </c>
      <c r="G354" s="4" t="s">
        <v>32</v>
      </c>
      <c r="H354" s="4" t="s">
        <v>32</v>
      </c>
      <c r="I354" s="2" t="s">
        <v>1369</v>
      </c>
      <c r="J354" s="3" t="s">
        <v>1373</v>
      </c>
      <c r="K354" s="3" t="s">
        <v>1372</v>
      </c>
      <c r="L354" s="3" t="s">
        <v>1374</v>
      </c>
      <c r="M354" s="4" t="s">
        <v>25</v>
      </c>
      <c r="N354" s="4" t="s">
        <v>63</v>
      </c>
    </row>
    <row r="355" spans="1:14" ht="48" x14ac:dyDescent="0.25">
      <c r="A355" s="2" t="s">
        <v>1375</v>
      </c>
      <c r="B355" s="3" t="s">
        <v>1376</v>
      </c>
      <c r="C355" s="2" t="s">
        <v>1369</v>
      </c>
      <c r="D355" s="3" t="s">
        <v>1370</v>
      </c>
      <c r="E355" s="3" t="s">
        <v>1371</v>
      </c>
      <c r="F355" s="3" t="s">
        <v>1372</v>
      </c>
      <c r="G355" s="4" t="s">
        <v>32</v>
      </c>
      <c r="H355" s="4" t="s">
        <v>32</v>
      </c>
      <c r="I355" s="2" t="s">
        <v>1369</v>
      </c>
      <c r="J355" s="3" t="s">
        <v>1373</v>
      </c>
      <c r="K355" s="3" t="s">
        <v>1372</v>
      </c>
      <c r="L355" s="3" t="s">
        <v>1374</v>
      </c>
      <c r="M355" s="4" t="s">
        <v>25</v>
      </c>
      <c r="N355" s="4" t="s">
        <v>63</v>
      </c>
    </row>
    <row r="356" spans="1:14" ht="48" x14ac:dyDescent="0.25">
      <c r="A356" s="2" t="s">
        <v>1377</v>
      </c>
      <c r="B356" s="3" t="s">
        <v>1378</v>
      </c>
      <c r="C356" s="2" t="s">
        <v>1369</v>
      </c>
      <c r="D356" s="3" t="s">
        <v>1370</v>
      </c>
      <c r="E356" s="3" t="s">
        <v>1371</v>
      </c>
      <c r="F356" s="3" t="s">
        <v>1372</v>
      </c>
      <c r="G356" s="4" t="s">
        <v>32</v>
      </c>
      <c r="H356" s="4" t="s">
        <v>32</v>
      </c>
      <c r="I356" s="2" t="s">
        <v>1369</v>
      </c>
      <c r="J356" s="3" t="s">
        <v>1373</v>
      </c>
      <c r="K356" s="3" t="s">
        <v>1372</v>
      </c>
      <c r="L356" s="3" t="s">
        <v>1374</v>
      </c>
      <c r="M356" s="4" t="s">
        <v>25</v>
      </c>
      <c r="N356" s="4" t="s">
        <v>63</v>
      </c>
    </row>
    <row r="357" spans="1:14" ht="36" x14ac:dyDescent="0.25">
      <c r="A357" s="2" t="s">
        <v>1379</v>
      </c>
      <c r="B357" s="3" t="s">
        <v>1380</v>
      </c>
      <c r="C357" s="2" t="s">
        <v>66</v>
      </c>
      <c r="D357" s="3"/>
      <c r="E357" s="3" t="s">
        <v>1371</v>
      </c>
      <c r="F357" s="3"/>
      <c r="G357" s="4" t="s">
        <v>68</v>
      </c>
      <c r="H357" s="4" t="s">
        <v>68</v>
      </c>
      <c r="I357" s="2" t="s">
        <v>1381</v>
      </c>
      <c r="J357" s="3" t="s">
        <v>1382</v>
      </c>
      <c r="K357" s="3" t="s">
        <v>1239</v>
      </c>
      <c r="L357" s="3" t="s">
        <v>1383</v>
      </c>
      <c r="M357" s="4" t="s">
        <v>34</v>
      </c>
      <c r="N357" s="4" t="s">
        <v>26</v>
      </c>
    </row>
    <row r="358" spans="1:14" ht="36" x14ac:dyDescent="0.25">
      <c r="A358" s="2" t="s">
        <v>1384</v>
      </c>
      <c r="B358" s="3" t="s">
        <v>1385</v>
      </c>
      <c r="C358" s="2" t="s">
        <v>66</v>
      </c>
      <c r="D358" s="3"/>
      <c r="E358" s="3" t="s">
        <v>1371</v>
      </c>
      <c r="F358" s="3"/>
      <c r="G358" s="4" t="s">
        <v>68</v>
      </c>
      <c r="H358" s="4" t="s">
        <v>68</v>
      </c>
      <c r="I358" s="2" t="s">
        <v>1369</v>
      </c>
      <c r="J358" s="3" t="s">
        <v>1373</v>
      </c>
      <c r="K358" s="3" t="s">
        <v>1372</v>
      </c>
      <c r="L358" s="3" t="s">
        <v>1386</v>
      </c>
      <c r="M358" s="4" t="s">
        <v>25</v>
      </c>
      <c r="N358" s="4" t="s">
        <v>26</v>
      </c>
    </row>
    <row r="359" spans="1:14" ht="36" x14ac:dyDescent="0.25">
      <c r="A359" s="2" t="s">
        <v>1387</v>
      </c>
      <c r="B359" s="3" t="s">
        <v>1388</v>
      </c>
      <c r="C359" s="2" t="s">
        <v>1338</v>
      </c>
      <c r="D359" s="3" t="s">
        <v>1339</v>
      </c>
      <c r="E359" s="3" t="s">
        <v>1371</v>
      </c>
      <c r="F359" s="3" t="s">
        <v>171</v>
      </c>
      <c r="G359" s="4" t="s">
        <v>32</v>
      </c>
      <c r="H359" s="4" t="s">
        <v>20</v>
      </c>
      <c r="I359" s="2" t="s">
        <v>1369</v>
      </c>
      <c r="J359" s="3" t="s">
        <v>1373</v>
      </c>
      <c r="K359" s="3" t="s">
        <v>1372</v>
      </c>
      <c r="L359" s="3" t="s">
        <v>1389</v>
      </c>
      <c r="M359" s="4" t="s">
        <v>25</v>
      </c>
      <c r="N359" s="4" t="s">
        <v>26</v>
      </c>
    </row>
    <row r="360" spans="1:14" ht="36" x14ac:dyDescent="0.25">
      <c r="A360" s="2" t="s">
        <v>1390</v>
      </c>
      <c r="B360" s="3" t="s">
        <v>1391</v>
      </c>
      <c r="C360" s="2" t="s">
        <v>1392</v>
      </c>
      <c r="D360" s="3" t="s">
        <v>1393</v>
      </c>
      <c r="E360" s="3" t="s">
        <v>1371</v>
      </c>
      <c r="F360" s="3" t="s">
        <v>1239</v>
      </c>
      <c r="G360" s="4" t="s">
        <v>20</v>
      </c>
      <c r="H360" s="4" t="s">
        <v>32</v>
      </c>
      <c r="I360" s="2" t="s">
        <v>1369</v>
      </c>
      <c r="J360" s="3" t="s">
        <v>1373</v>
      </c>
      <c r="K360" s="3" t="s">
        <v>1372</v>
      </c>
      <c r="L360" s="3" t="s">
        <v>1394</v>
      </c>
      <c r="M360" s="4" t="s">
        <v>25</v>
      </c>
      <c r="N360" s="4" t="s">
        <v>26</v>
      </c>
    </row>
    <row r="361" spans="1:14" ht="36" x14ac:dyDescent="0.25">
      <c r="A361" s="2" t="s">
        <v>1395</v>
      </c>
      <c r="B361" s="3" t="s">
        <v>1396</v>
      </c>
      <c r="C361" s="2" t="s">
        <v>1361</v>
      </c>
      <c r="D361" s="3" t="s">
        <v>1362</v>
      </c>
      <c r="E361" s="3" t="s">
        <v>1397</v>
      </c>
      <c r="F361" s="3" t="s">
        <v>1363</v>
      </c>
      <c r="G361" s="4" t="s">
        <v>20</v>
      </c>
      <c r="H361" s="4" t="s">
        <v>20</v>
      </c>
      <c r="I361" s="2" t="s">
        <v>1392</v>
      </c>
      <c r="J361" s="3" t="s">
        <v>1398</v>
      </c>
      <c r="K361" s="3" t="s">
        <v>1239</v>
      </c>
      <c r="L361" s="3" t="s">
        <v>1399</v>
      </c>
      <c r="M361" s="4" t="s">
        <v>25</v>
      </c>
      <c r="N361" s="4" t="s">
        <v>26</v>
      </c>
    </row>
    <row r="362" spans="1:14" ht="36" x14ac:dyDescent="0.25">
      <c r="A362" s="2" t="s">
        <v>1400</v>
      </c>
      <c r="B362" s="3" t="s">
        <v>1401</v>
      </c>
      <c r="C362" s="2" t="s">
        <v>66</v>
      </c>
      <c r="D362" s="3"/>
      <c r="E362" s="3" t="s">
        <v>1397</v>
      </c>
      <c r="F362" s="3"/>
      <c r="G362" s="4" t="s">
        <v>68</v>
      </c>
      <c r="H362" s="4" t="s">
        <v>68</v>
      </c>
      <c r="I362" s="2" t="s">
        <v>1392</v>
      </c>
      <c r="J362" s="3" t="s">
        <v>1398</v>
      </c>
      <c r="K362" s="3" t="s">
        <v>1239</v>
      </c>
      <c r="L362" s="3" t="s">
        <v>1402</v>
      </c>
      <c r="M362" s="4" t="s">
        <v>34</v>
      </c>
      <c r="N362" s="4" t="s">
        <v>26</v>
      </c>
    </row>
    <row r="363" spans="1:14" ht="36" x14ac:dyDescent="0.25">
      <c r="A363" s="2" t="s">
        <v>1403</v>
      </c>
      <c r="B363" s="3" t="s">
        <v>1404</v>
      </c>
      <c r="C363" s="2" t="s">
        <v>66</v>
      </c>
      <c r="D363" s="3"/>
      <c r="E363" s="3" t="s">
        <v>1397</v>
      </c>
      <c r="F363" s="3"/>
      <c r="G363" s="4" t="s">
        <v>68</v>
      </c>
      <c r="H363" s="4" t="s">
        <v>68</v>
      </c>
      <c r="I363" s="2" t="s">
        <v>1392</v>
      </c>
      <c r="J363" s="3" t="s">
        <v>1398</v>
      </c>
      <c r="K363" s="3" t="s">
        <v>1239</v>
      </c>
      <c r="L363" s="3" t="s">
        <v>1402</v>
      </c>
      <c r="M363" s="4" t="s">
        <v>34</v>
      </c>
      <c r="N363" s="4" t="s">
        <v>26</v>
      </c>
    </row>
    <row r="364" spans="1:14" ht="36" x14ac:dyDescent="0.25">
      <c r="A364" s="2" t="s">
        <v>1405</v>
      </c>
      <c r="B364" s="3" t="s">
        <v>1406</v>
      </c>
      <c r="C364" s="2" t="s">
        <v>66</v>
      </c>
      <c r="D364" s="3"/>
      <c r="E364" s="3" t="s">
        <v>1397</v>
      </c>
      <c r="F364" s="3"/>
      <c r="G364" s="4" t="s">
        <v>68</v>
      </c>
      <c r="H364" s="4" t="s">
        <v>68</v>
      </c>
      <c r="I364" s="2" t="s">
        <v>1392</v>
      </c>
      <c r="J364" s="3" t="s">
        <v>1398</v>
      </c>
      <c r="K364" s="3" t="s">
        <v>1239</v>
      </c>
      <c r="L364" s="3" t="s">
        <v>1402</v>
      </c>
      <c r="M364" s="4" t="s">
        <v>34</v>
      </c>
      <c r="N364" s="4" t="s">
        <v>26</v>
      </c>
    </row>
    <row r="365" spans="1:14" ht="36" x14ac:dyDescent="0.25">
      <c r="A365" s="2" t="s">
        <v>1407</v>
      </c>
      <c r="B365" s="3" t="s">
        <v>1408</v>
      </c>
      <c r="C365" s="2" t="s">
        <v>66</v>
      </c>
      <c r="D365" s="3"/>
      <c r="E365" s="3" t="s">
        <v>1397</v>
      </c>
      <c r="F365" s="3"/>
      <c r="G365" s="4" t="s">
        <v>68</v>
      </c>
      <c r="H365" s="4" t="s">
        <v>68</v>
      </c>
      <c r="I365" s="2" t="s">
        <v>1392</v>
      </c>
      <c r="J365" s="3" t="s">
        <v>1398</v>
      </c>
      <c r="K365" s="3" t="s">
        <v>1239</v>
      </c>
      <c r="L365" s="3" t="s">
        <v>1402</v>
      </c>
      <c r="M365" s="4" t="s">
        <v>34</v>
      </c>
      <c r="N365" s="4" t="s">
        <v>26</v>
      </c>
    </row>
    <row r="366" spans="1:14" ht="36" x14ac:dyDescent="0.25">
      <c r="A366" s="2" t="s">
        <v>1409</v>
      </c>
      <c r="B366" s="3" t="s">
        <v>1410</v>
      </c>
      <c r="C366" s="2" t="s">
        <v>66</v>
      </c>
      <c r="D366" s="3"/>
      <c r="E366" s="3" t="s">
        <v>1411</v>
      </c>
      <c r="F366" s="3"/>
      <c r="G366" s="4" t="s">
        <v>68</v>
      </c>
      <c r="H366" s="4" t="s">
        <v>68</v>
      </c>
      <c r="I366" s="2" t="s">
        <v>1237</v>
      </c>
      <c r="J366" s="3" t="s">
        <v>1412</v>
      </c>
      <c r="K366" s="3" t="s">
        <v>1239</v>
      </c>
      <c r="L366" s="3" t="s">
        <v>1413</v>
      </c>
      <c r="M366" s="4" t="s">
        <v>25</v>
      </c>
      <c r="N366" s="4" t="s">
        <v>26</v>
      </c>
    </row>
    <row r="367" spans="1:14" ht="36" x14ac:dyDescent="0.25">
      <c r="A367" s="2" t="s">
        <v>1414</v>
      </c>
      <c r="B367" s="3" t="s">
        <v>1415</v>
      </c>
      <c r="C367" s="2" t="s">
        <v>1416</v>
      </c>
      <c r="D367" s="3" t="s">
        <v>1417</v>
      </c>
      <c r="E367" s="3" t="s">
        <v>1411</v>
      </c>
      <c r="F367" s="3" t="s">
        <v>499</v>
      </c>
      <c r="G367" s="4" t="s">
        <v>20</v>
      </c>
      <c r="H367" s="4" t="s">
        <v>20</v>
      </c>
      <c r="I367" s="2" t="s">
        <v>1237</v>
      </c>
      <c r="J367" s="3" t="s">
        <v>1412</v>
      </c>
      <c r="K367" s="3" t="s">
        <v>1239</v>
      </c>
      <c r="L367" s="3" t="s">
        <v>1418</v>
      </c>
      <c r="M367" s="4" t="s">
        <v>25</v>
      </c>
      <c r="N367" s="4" t="s">
        <v>26</v>
      </c>
    </row>
    <row r="368" spans="1:14" ht="36" x14ac:dyDescent="0.25">
      <c r="A368" s="2" t="s">
        <v>1419</v>
      </c>
      <c r="B368" s="3" t="s">
        <v>1420</v>
      </c>
      <c r="C368" s="2" t="s">
        <v>1421</v>
      </c>
      <c r="D368" s="3" t="s">
        <v>1422</v>
      </c>
      <c r="E368" s="3" t="s">
        <v>1423</v>
      </c>
      <c r="F368" s="3" t="s">
        <v>1424</v>
      </c>
      <c r="G368" s="4" t="s">
        <v>20</v>
      </c>
      <c r="H368" s="4" t="s">
        <v>20</v>
      </c>
      <c r="I368" s="2" t="s">
        <v>1425</v>
      </c>
      <c r="J368" s="3" t="s">
        <v>1426</v>
      </c>
      <c r="K368" s="3" t="s">
        <v>1427</v>
      </c>
      <c r="L368" s="3" t="s">
        <v>1428</v>
      </c>
      <c r="M368" s="4" t="s">
        <v>34</v>
      </c>
      <c r="N368" s="4" t="s">
        <v>26</v>
      </c>
    </row>
    <row r="369" spans="1:14" ht="36" x14ac:dyDescent="0.25">
      <c r="A369" s="2" t="s">
        <v>1429</v>
      </c>
      <c r="B369" s="3" t="s">
        <v>1430</v>
      </c>
      <c r="C369" s="2" t="s">
        <v>1431</v>
      </c>
      <c r="D369" s="3" t="s">
        <v>1432</v>
      </c>
      <c r="E369" s="3" t="s">
        <v>1433</v>
      </c>
      <c r="F369" s="3" t="s">
        <v>1424</v>
      </c>
      <c r="G369" s="4" t="s">
        <v>20</v>
      </c>
      <c r="H369" s="4" t="s">
        <v>32</v>
      </c>
      <c r="I369" s="2" t="s">
        <v>1421</v>
      </c>
      <c r="J369" s="3" t="s">
        <v>1434</v>
      </c>
      <c r="K369" s="3" t="s">
        <v>1424</v>
      </c>
      <c r="L369" s="3" t="s">
        <v>1435</v>
      </c>
      <c r="M369" s="4" t="s">
        <v>34</v>
      </c>
      <c r="N369" s="4" t="s">
        <v>26</v>
      </c>
    </row>
    <row r="370" spans="1:14" ht="60" x14ac:dyDescent="0.25">
      <c r="A370" s="2" t="s">
        <v>1436</v>
      </c>
      <c r="B370" s="3" t="s">
        <v>1437</v>
      </c>
      <c r="C370" s="2" t="s">
        <v>1431</v>
      </c>
      <c r="D370" s="3" t="s">
        <v>1432</v>
      </c>
      <c r="E370" s="3" t="s">
        <v>1433</v>
      </c>
      <c r="F370" s="3" t="s">
        <v>1424</v>
      </c>
      <c r="G370" s="4" t="s">
        <v>20</v>
      </c>
      <c r="H370" s="4" t="s">
        <v>32</v>
      </c>
      <c r="I370" s="2" t="s">
        <v>1438</v>
      </c>
      <c r="J370" s="3" t="s">
        <v>1439</v>
      </c>
      <c r="K370" s="3" t="s">
        <v>1424</v>
      </c>
      <c r="L370" s="3" t="s">
        <v>1440</v>
      </c>
      <c r="M370" s="4" t="s">
        <v>25</v>
      </c>
      <c r="N370" s="4" t="s">
        <v>235</v>
      </c>
    </row>
    <row r="371" spans="1:14" ht="48" x14ac:dyDescent="0.25">
      <c r="A371" s="2" t="s">
        <v>1441</v>
      </c>
      <c r="B371" s="3" t="s">
        <v>1442</v>
      </c>
      <c r="C371" s="2" t="s">
        <v>66</v>
      </c>
      <c r="D371" s="3"/>
      <c r="E371" s="3" t="s">
        <v>1443</v>
      </c>
      <c r="F371" s="3"/>
      <c r="G371" s="4" t="s">
        <v>68</v>
      </c>
      <c r="H371" s="4" t="s">
        <v>68</v>
      </c>
      <c r="I371" s="2" t="s">
        <v>1444</v>
      </c>
      <c r="J371" s="3" t="s">
        <v>1445</v>
      </c>
      <c r="K371" s="3" t="s">
        <v>171</v>
      </c>
      <c r="L371" s="3" t="s">
        <v>1446</v>
      </c>
      <c r="M371" s="4" t="s">
        <v>34</v>
      </c>
      <c r="N371" s="4" t="s">
        <v>26</v>
      </c>
    </row>
    <row r="372" spans="1:14" ht="48" x14ac:dyDescent="0.25">
      <c r="A372" s="2" t="s">
        <v>1447</v>
      </c>
      <c r="B372" s="3" t="s">
        <v>1448</v>
      </c>
      <c r="C372" s="2" t="s">
        <v>1449</v>
      </c>
      <c r="D372" s="3" t="s">
        <v>1450</v>
      </c>
      <c r="E372" s="3" t="s">
        <v>1443</v>
      </c>
      <c r="F372" s="3" t="s">
        <v>1451</v>
      </c>
      <c r="G372" s="4" t="s">
        <v>20</v>
      </c>
      <c r="H372" s="4" t="s">
        <v>20</v>
      </c>
      <c r="I372" s="2" t="s">
        <v>1452</v>
      </c>
      <c r="J372" s="3" t="s">
        <v>1453</v>
      </c>
      <c r="K372" s="3" t="s">
        <v>171</v>
      </c>
      <c r="L372" s="3" t="s">
        <v>1454</v>
      </c>
      <c r="M372" s="4" t="s">
        <v>34</v>
      </c>
      <c r="N372" s="4" t="s">
        <v>26</v>
      </c>
    </row>
    <row r="373" spans="1:14" ht="48" x14ac:dyDescent="0.25">
      <c r="A373" s="2" t="s">
        <v>1455</v>
      </c>
      <c r="B373" s="3" t="s">
        <v>1456</v>
      </c>
      <c r="C373" s="2" t="s">
        <v>1457</v>
      </c>
      <c r="D373" s="3" t="s">
        <v>1458</v>
      </c>
      <c r="E373" s="3" t="s">
        <v>1443</v>
      </c>
      <c r="F373" s="3" t="s">
        <v>205</v>
      </c>
      <c r="G373" s="4" t="s">
        <v>20</v>
      </c>
      <c r="H373" s="4" t="s">
        <v>20</v>
      </c>
      <c r="I373" s="2" t="s">
        <v>1459</v>
      </c>
      <c r="J373" s="3" t="s">
        <v>1460</v>
      </c>
      <c r="K373" s="3" t="s">
        <v>171</v>
      </c>
      <c r="L373" s="3" t="s">
        <v>1461</v>
      </c>
      <c r="M373" s="4" t="s">
        <v>34</v>
      </c>
      <c r="N373" s="4" t="s">
        <v>26</v>
      </c>
    </row>
    <row r="374" spans="1:14" ht="48" x14ac:dyDescent="0.25">
      <c r="A374" s="2" t="s">
        <v>1462</v>
      </c>
      <c r="B374" s="3" t="s">
        <v>1463</v>
      </c>
      <c r="C374" s="2" t="s">
        <v>1464</v>
      </c>
      <c r="D374" s="3" t="s">
        <v>1465</v>
      </c>
      <c r="E374" s="3" t="s">
        <v>1443</v>
      </c>
      <c r="F374" s="3" t="s">
        <v>171</v>
      </c>
      <c r="G374" s="4" t="s">
        <v>32</v>
      </c>
      <c r="H374" s="4" t="s">
        <v>32</v>
      </c>
      <c r="I374" s="2" t="s">
        <v>1464</v>
      </c>
      <c r="J374" s="3" t="s">
        <v>1466</v>
      </c>
      <c r="K374" s="3" t="s">
        <v>171</v>
      </c>
      <c r="L374" s="3" t="s">
        <v>1467</v>
      </c>
      <c r="M374" s="4" t="s">
        <v>34</v>
      </c>
      <c r="N374" s="4" t="s">
        <v>63</v>
      </c>
    </row>
    <row r="375" spans="1:14" ht="48" x14ac:dyDescent="0.25">
      <c r="A375" s="2" t="s">
        <v>1468</v>
      </c>
      <c r="B375" s="3" t="s">
        <v>1469</v>
      </c>
      <c r="C375" s="2" t="s">
        <v>1338</v>
      </c>
      <c r="D375" s="3" t="s">
        <v>1339</v>
      </c>
      <c r="E375" s="3" t="s">
        <v>1443</v>
      </c>
      <c r="F375" s="3" t="s">
        <v>171</v>
      </c>
      <c r="G375" s="4" t="s">
        <v>32</v>
      </c>
      <c r="H375" s="4" t="s">
        <v>32</v>
      </c>
      <c r="I375" s="2" t="s">
        <v>1338</v>
      </c>
      <c r="J375" s="3" t="s">
        <v>1470</v>
      </c>
      <c r="K375" s="3" t="s">
        <v>171</v>
      </c>
      <c r="L375" s="3" t="s">
        <v>1471</v>
      </c>
      <c r="M375" s="4" t="s">
        <v>25</v>
      </c>
      <c r="N375" s="4" t="s">
        <v>63</v>
      </c>
    </row>
    <row r="376" spans="1:14" ht="48" x14ac:dyDescent="0.25">
      <c r="A376" s="2" t="s">
        <v>1472</v>
      </c>
      <c r="B376" s="3" t="s">
        <v>1473</v>
      </c>
      <c r="C376" s="2" t="s">
        <v>1474</v>
      </c>
      <c r="D376" s="3" t="s">
        <v>1475</v>
      </c>
      <c r="E376" s="3" t="s">
        <v>1443</v>
      </c>
      <c r="F376" s="3" t="s">
        <v>164</v>
      </c>
      <c r="G376" s="4" t="s">
        <v>20</v>
      </c>
      <c r="H376" s="4" t="s">
        <v>20</v>
      </c>
      <c r="I376" s="2" t="s">
        <v>1476</v>
      </c>
      <c r="J376" s="3" t="s">
        <v>1477</v>
      </c>
      <c r="K376" s="3" t="s">
        <v>1478</v>
      </c>
      <c r="L376" s="3" t="s">
        <v>1479</v>
      </c>
      <c r="M376" s="4" t="s">
        <v>34</v>
      </c>
      <c r="N376" s="4" t="s">
        <v>26</v>
      </c>
    </row>
    <row r="377" spans="1:14" ht="48" x14ac:dyDescent="0.25">
      <c r="A377" s="2" t="s">
        <v>1480</v>
      </c>
      <c r="B377" s="3" t="s">
        <v>1481</v>
      </c>
      <c r="C377" s="2" t="s">
        <v>1482</v>
      </c>
      <c r="D377" s="3" t="s">
        <v>1483</v>
      </c>
      <c r="E377" s="3" t="s">
        <v>1443</v>
      </c>
      <c r="F377" s="3" t="s">
        <v>205</v>
      </c>
      <c r="G377" s="4" t="s">
        <v>20</v>
      </c>
      <c r="H377" s="4" t="s">
        <v>20</v>
      </c>
      <c r="I377" s="2" t="s">
        <v>1058</v>
      </c>
      <c r="J377" s="3" t="s">
        <v>1484</v>
      </c>
      <c r="K377" s="3" t="s">
        <v>171</v>
      </c>
      <c r="L377" s="3" t="s">
        <v>1485</v>
      </c>
      <c r="M377" s="4" t="s">
        <v>34</v>
      </c>
      <c r="N377" s="4" t="s">
        <v>26</v>
      </c>
    </row>
    <row r="378" spans="1:14" ht="48" x14ac:dyDescent="0.25">
      <c r="A378" s="2" t="s">
        <v>1486</v>
      </c>
      <c r="B378" s="3" t="s">
        <v>1487</v>
      </c>
      <c r="C378" s="2" t="s">
        <v>1488</v>
      </c>
      <c r="D378" s="3" t="s">
        <v>1487</v>
      </c>
      <c r="E378" s="3" t="s">
        <v>1443</v>
      </c>
      <c r="F378" s="3" t="s">
        <v>171</v>
      </c>
      <c r="G378" s="4" t="s">
        <v>32</v>
      </c>
      <c r="H378" s="4" t="s">
        <v>32</v>
      </c>
      <c r="I378" s="2" t="s">
        <v>1488</v>
      </c>
      <c r="J378" s="3" t="s">
        <v>1489</v>
      </c>
      <c r="K378" s="3" t="s">
        <v>171</v>
      </c>
      <c r="L378" s="3" t="s">
        <v>1490</v>
      </c>
      <c r="M378" s="4" t="s">
        <v>34</v>
      </c>
      <c r="N378" s="4" t="s">
        <v>63</v>
      </c>
    </row>
    <row r="379" spans="1:14" ht="48" x14ac:dyDescent="0.25">
      <c r="A379" s="2" t="s">
        <v>1491</v>
      </c>
      <c r="B379" s="3" t="s">
        <v>1492</v>
      </c>
      <c r="C379" s="2" t="s">
        <v>1416</v>
      </c>
      <c r="D379" s="3" t="s">
        <v>1417</v>
      </c>
      <c r="E379" s="3" t="s">
        <v>1443</v>
      </c>
      <c r="F379" s="3" t="s">
        <v>499</v>
      </c>
      <c r="G379" s="4" t="s">
        <v>20</v>
      </c>
      <c r="H379" s="4" t="s">
        <v>20</v>
      </c>
      <c r="I379" s="2" t="s">
        <v>1452</v>
      </c>
      <c r="J379" s="3" t="s">
        <v>1453</v>
      </c>
      <c r="K379" s="3" t="s">
        <v>171</v>
      </c>
      <c r="L379" s="3" t="s">
        <v>1493</v>
      </c>
      <c r="M379" s="4" t="s">
        <v>25</v>
      </c>
      <c r="N379" s="4" t="s">
        <v>26</v>
      </c>
    </row>
    <row r="380" spans="1:14" ht="48" x14ac:dyDescent="0.25">
      <c r="A380" s="2" t="s">
        <v>1494</v>
      </c>
      <c r="B380" s="3" t="s">
        <v>1495</v>
      </c>
      <c r="C380" s="2" t="s">
        <v>66</v>
      </c>
      <c r="D380" s="3"/>
      <c r="E380" s="3" t="s">
        <v>1496</v>
      </c>
      <c r="F380" s="3"/>
      <c r="G380" s="4" t="s">
        <v>68</v>
      </c>
      <c r="H380" s="4" t="s">
        <v>68</v>
      </c>
      <c r="I380" s="2" t="s">
        <v>1452</v>
      </c>
      <c r="J380" s="3" t="s">
        <v>1453</v>
      </c>
      <c r="K380" s="3" t="s">
        <v>171</v>
      </c>
      <c r="L380" s="3" t="s">
        <v>1497</v>
      </c>
      <c r="M380" s="4" t="s">
        <v>25</v>
      </c>
      <c r="N380" s="4" t="s">
        <v>26</v>
      </c>
    </row>
    <row r="381" spans="1:14" ht="48" x14ac:dyDescent="0.25">
      <c r="A381" s="2" t="s">
        <v>1498</v>
      </c>
      <c r="B381" s="3" t="s">
        <v>1499</v>
      </c>
      <c r="C381" s="2" t="s">
        <v>66</v>
      </c>
      <c r="D381" s="3"/>
      <c r="E381" s="3" t="s">
        <v>1496</v>
      </c>
      <c r="F381" s="3"/>
      <c r="G381" s="4" t="s">
        <v>68</v>
      </c>
      <c r="H381" s="4" t="s">
        <v>68</v>
      </c>
      <c r="I381" s="2" t="s">
        <v>1452</v>
      </c>
      <c r="J381" s="3" t="s">
        <v>1453</v>
      </c>
      <c r="K381" s="3" t="s">
        <v>171</v>
      </c>
      <c r="L381" s="3" t="s">
        <v>1497</v>
      </c>
      <c r="M381" s="4" t="s">
        <v>25</v>
      </c>
      <c r="N381" s="4" t="s">
        <v>26</v>
      </c>
    </row>
    <row r="382" spans="1:14" ht="48" x14ac:dyDescent="0.25">
      <c r="A382" s="2" t="s">
        <v>1500</v>
      </c>
      <c r="B382" s="3" t="s">
        <v>1501</v>
      </c>
      <c r="C382" s="2" t="s">
        <v>1502</v>
      </c>
      <c r="D382" s="3" t="s">
        <v>1503</v>
      </c>
      <c r="E382" s="3" t="s">
        <v>1496</v>
      </c>
      <c r="F382" s="3" t="s">
        <v>148</v>
      </c>
      <c r="G382" s="4" t="s">
        <v>20</v>
      </c>
      <c r="H382" s="4" t="s">
        <v>20</v>
      </c>
      <c r="I382" s="2" t="s">
        <v>1452</v>
      </c>
      <c r="J382" s="3" t="s">
        <v>1453</v>
      </c>
      <c r="K382" s="3" t="s">
        <v>171</v>
      </c>
      <c r="L382" s="3" t="s">
        <v>1504</v>
      </c>
      <c r="M382" s="4" t="s">
        <v>25</v>
      </c>
      <c r="N382" s="4" t="s">
        <v>26</v>
      </c>
    </row>
    <row r="383" spans="1:14" ht="48" x14ac:dyDescent="0.25">
      <c r="A383" s="2" t="s">
        <v>1505</v>
      </c>
      <c r="B383" s="3" t="s">
        <v>1506</v>
      </c>
      <c r="C383" s="2" t="s">
        <v>66</v>
      </c>
      <c r="D383" s="3"/>
      <c r="E383" s="3" t="s">
        <v>1496</v>
      </c>
      <c r="F383" s="3"/>
      <c r="G383" s="4" t="s">
        <v>68</v>
      </c>
      <c r="H383" s="4" t="s">
        <v>68</v>
      </c>
      <c r="I383" s="2" t="s">
        <v>1452</v>
      </c>
      <c r="J383" s="3" t="s">
        <v>1453</v>
      </c>
      <c r="K383" s="3" t="s">
        <v>171</v>
      </c>
      <c r="L383" s="3" t="s">
        <v>1497</v>
      </c>
      <c r="M383" s="4" t="s">
        <v>25</v>
      </c>
      <c r="N383" s="4" t="s">
        <v>26</v>
      </c>
    </row>
    <row r="384" spans="1:14" ht="48" x14ac:dyDescent="0.25">
      <c r="A384" s="2" t="s">
        <v>1507</v>
      </c>
      <c r="B384" s="3" t="s">
        <v>1508</v>
      </c>
      <c r="C384" s="2" t="s">
        <v>66</v>
      </c>
      <c r="D384" s="3"/>
      <c r="E384" s="3" t="s">
        <v>1496</v>
      </c>
      <c r="F384" s="3"/>
      <c r="G384" s="4" t="s">
        <v>68</v>
      </c>
      <c r="H384" s="4" t="s">
        <v>68</v>
      </c>
      <c r="I384" s="2" t="s">
        <v>1452</v>
      </c>
      <c r="J384" s="3" t="s">
        <v>1453</v>
      </c>
      <c r="K384" s="3" t="s">
        <v>171</v>
      </c>
      <c r="L384" s="3" t="s">
        <v>1497</v>
      </c>
      <c r="M384" s="4" t="s">
        <v>25</v>
      </c>
      <c r="N384" s="4" t="s">
        <v>26</v>
      </c>
    </row>
    <row r="385" spans="1:14" ht="48" x14ac:dyDescent="0.25">
      <c r="A385" s="2" t="s">
        <v>1509</v>
      </c>
      <c r="B385" s="3" t="s">
        <v>1510</v>
      </c>
      <c r="C385" s="2" t="s">
        <v>66</v>
      </c>
      <c r="D385" s="3"/>
      <c r="E385" s="3" t="s">
        <v>1496</v>
      </c>
      <c r="F385" s="3"/>
      <c r="G385" s="4" t="s">
        <v>68</v>
      </c>
      <c r="H385" s="4" t="s">
        <v>68</v>
      </c>
      <c r="I385" s="2" t="s">
        <v>1452</v>
      </c>
      <c r="J385" s="3" t="s">
        <v>1453</v>
      </c>
      <c r="K385" s="3" t="s">
        <v>171</v>
      </c>
      <c r="L385" s="3" t="s">
        <v>1497</v>
      </c>
      <c r="M385" s="4" t="s">
        <v>25</v>
      </c>
      <c r="N385" s="4" t="s">
        <v>26</v>
      </c>
    </row>
    <row r="386" spans="1:14" ht="48" x14ac:dyDescent="0.25">
      <c r="A386" s="2" t="s">
        <v>1511</v>
      </c>
      <c r="B386" s="3" t="s">
        <v>1512</v>
      </c>
      <c r="C386" s="2" t="s">
        <v>1237</v>
      </c>
      <c r="D386" s="3" t="s">
        <v>1238</v>
      </c>
      <c r="E386" s="3" t="s">
        <v>1496</v>
      </c>
      <c r="F386" s="3" t="s">
        <v>1239</v>
      </c>
      <c r="G386" s="4" t="s">
        <v>20</v>
      </c>
      <c r="H386" s="4" t="s">
        <v>20</v>
      </c>
      <c r="I386" s="2" t="s">
        <v>1452</v>
      </c>
      <c r="J386" s="3" t="s">
        <v>1453</v>
      </c>
      <c r="K386" s="3" t="s">
        <v>171</v>
      </c>
      <c r="L386" s="3" t="s">
        <v>1513</v>
      </c>
      <c r="M386" s="4" t="s">
        <v>25</v>
      </c>
      <c r="N386" s="4" t="s">
        <v>26</v>
      </c>
    </row>
    <row r="387" spans="1:14" ht="48" x14ac:dyDescent="0.25">
      <c r="A387" s="2" t="s">
        <v>1514</v>
      </c>
      <c r="B387" s="3" t="s">
        <v>1515</v>
      </c>
      <c r="C387" s="2" t="s">
        <v>1340</v>
      </c>
      <c r="D387" s="3" t="s">
        <v>1516</v>
      </c>
      <c r="E387" s="3" t="s">
        <v>1517</v>
      </c>
      <c r="F387" s="3" t="s">
        <v>1316</v>
      </c>
      <c r="G387" s="4" t="s">
        <v>20</v>
      </c>
      <c r="H387" s="4" t="s">
        <v>20</v>
      </c>
      <c r="I387" s="2" t="s">
        <v>1210</v>
      </c>
      <c r="J387" s="3" t="s">
        <v>1518</v>
      </c>
      <c r="K387" s="3" t="s">
        <v>171</v>
      </c>
      <c r="L387" s="3" t="s">
        <v>1519</v>
      </c>
      <c r="M387" s="4" t="s">
        <v>25</v>
      </c>
      <c r="N387" s="4" t="s">
        <v>26</v>
      </c>
    </row>
    <row r="388" spans="1:14" ht="48" x14ac:dyDescent="0.25">
      <c r="A388" s="2" t="s">
        <v>1520</v>
      </c>
      <c r="B388" s="3" t="s">
        <v>1521</v>
      </c>
      <c r="C388" s="2" t="s">
        <v>1522</v>
      </c>
      <c r="D388" s="3" t="s">
        <v>1523</v>
      </c>
      <c r="E388" s="3" t="s">
        <v>1517</v>
      </c>
      <c r="F388" s="3" t="s">
        <v>41</v>
      </c>
      <c r="G388" s="4" t="s">
        <v>20</v>
      </c>
      <c r="H388" s="4" t="s">
        <v>20</v>
      </c>
      <c r="I388" s="2"/>
      <c r="J388" s="3"/>
      <c r="K388" s="3"/>
      <c r="L388" s="3" t="s">
        <v>1524</v>
      </c>
      <c r="M388" s="4" t="s">
        <v>34</v>
      </c>
      <c r="N388" s="4" t="s">
        <v>35</v>
      </c>
    </row>
    <row r="389" spans="1:14" ht="48" x14ac:dyDescent="0.25">
      <c r="A389" s="2" t="s">
        <v>1525</v>
      </c>
      <c r="B389" s="3" t="s">
        <v>1526</v>
      </c>
      <c r="C389" s="2" t="s">
        <v>1522</v>
      </c>
      <c r="D389" s="3" t="s">
        <v>1523</v>
      </c>
      <c r="E389" s="3" t="s">
        <v>1517</v>
      </c>
      <c r="F389" s="3" t="s">
        <v>41</v>
      </c>
      <c r="G389" s="4" t="s">
        <v>20</v>
      </c>
      <c r="H389" s="4" t="s">
        <v>20</v>
      </c>
      <c r="I389" s="2"/>
      <c r="J389" s="3"/>
      <c r="K389" s="3"/>
      <c r="L389" s="3" t="s">
        <v>1524</v>
      </c>
      <c r="M389" s="4" t="s">
        <v>34</v>
      </c>
      <c r="N389" s="4" t="s">
        <v>35</v>
      </c>
    </row>
    <row r="390" spans="1:14" ht="48" x14ac:dyDescent="0.25">
      <c r="A390" s="2" t="s">
        <v>1527</v>
      </c>
      <c r="B390" s="3" t="s">
        <v>1528</v>
      </c>
      <c r="C390" s="2" t="s">
        <v>66</v>
      </c>
      <c r="D390" s="3"/>
      <c r="E390" s="3" t="s">
        <v>1517</v>
      </c>
      <c r="F390" s="3"/>
      <c r="G390" s="4" t="s">
        <v>68</v>
      </c>
      <c r="H390" s="4" t="s">
        <v>68</v>
      </c>
      <c r="I390" s="2"/>
      <c r="J390" s="3"/>
      <c r="K390" s="3"/>
      <c r="L390" s="3" t="s">
        <v>1529</v>
      </c>
      <c r="M390" s="4" t="s">
        <v>34</v>
      </c>
      <c r="N390" s="4" t="s">
        <v>35</v>
      </c>
    </row>
    <row r="391" spans="1:14" ht="36" x14ac:dyDescent="0.25">
      <c r="A391" s="2" t="s">
        <v>1530</v>
      </c>
      <c r="B391" s="3" t="s">
        <v>1531</v>
      </c>
      <c r="C391" s="2" t="s">
        <v>1532</v>
      </c>
      <c r="D391" s="3" t="s">
        <v>1533</v>
      </c>
      <c r="E391" s="3" t="s">
        <v>1517</v>
      </c>
      <c r="F391" s="3" t="s">
        <v>499</v>
      </c>
      <c r="G391" s="4" t="s">
        <v>20</v>
      </c>
      <c r="H391" s="4" t="s">
        <v>20</v>
      </c>
      <c r="I391" s="2" t="s">
        <v>1534</v>
      </c>
      <c r="J391" s="3" t="s">
        <v>1535</v>
      </c>
      <c r="K391" s="3" t="s">
        <v>1536</v>
      </c>
      <c r="L391" s="3" t="s">
        <v>1537</v>
      </c>
      <c r="M391" s="4" t="s">
        <v>25</v>
      </c>
      <c r="N391" s="4" t="s">
        <v>26</v>
      </c>
    </row>
    <row r="392" spans="1:14" ht="36" x14ac:dyDescent="0.25">
      <c r="A392" s="2" t="s">
        <v>1538</v>
      </c>
      <c r="B392" s="3" t="s">
        <v>1539</v>
      </c>
      <c r="C392" s="2" t="s">
        <v>1540</v>
      </c>
      <c r="D392" s="3" t="s">
        <v>1541</v>
      </c>
      <c r="E392" s="3" t="s">
        <v>1517</v>
      </c>
      <c r="F392" s="3" t="s">
        <v>499</v>
      </c>
      <c r="G392" s="4" t="s">
        <v>20</v>
      </c>
      <c r="H392" s="4" t="s">
        <v>20</v>
      </c>
      <c r="I392" s="2" t="s">
        <v>1452</v>
      </c>
      <c r="J392" s="3" t="s">
        <v>1453</v>
      </c>
      <c r="K392" s="3" t="s">
        <v>171</v>
      </c>
      <c r="L392" s="3" t="s">
        <v>1542</v>
      </c>
      <c r="M392" s="4" t="s">
        <v>25</v>
      </c>
      <c r="N392" s="4" t="s">
        <v>26</v>
      </c>
    </row>
    <row r="393" spans="1:14" ht="36" x14ac:dyDescent="0.25">
      <c r="A393" s="2" t="s">
        <v>1543</v>
      </c>
      <c r="B393" s="3" t="s">
        <v>1544</v>
      </c>
      <c r="C393" s="2" t="s">
        <v>1545</v>
      </c>
      <c r="D393" s="3" t="s">
        <v>1546</v>
      </c>
      <c r="E393" s="3" t="s">
        <v>1547</v>
      </c>
      <c r="F393" s="3" t="s">
        <v>138</v>
      </c>
      <c r="G393" s="4" t="s">
        <v>32</v>
      </c>
      <c r="H393" s="4" t="s">
        <v>32</v>
      </c>
      <c r="I393" s="2" t="s">
        <v>1545</v>
      </c>
      <c r="J393" s="3" t="s">
        <v>1548</v>
      </c>
      <c r="K393" s="3" t="s">
        <v>138</v>
      </c>
      <c r="L393" s="3" t="s">
        <v>1549</v>
      </c>
      <c r="M393" s="4" t="s">
        <v>34</v>
      </c>
      <c r="N393" s="4" t="s">
        <v>63</v>
      </c>
    </row>
    <row r="394" spans="1:14" ht="36" x14ac:dyDescent="0.25">
      <c r="A394" s="2" t="s">
        <v>1550</v>
      </c>
      <c r="B394" s="3" t="s">
        <v>1551</v>
      </c>
      <c r="C394" s="2" t="s">
        <v>66</v>
      </c>
      <c r="D394" s="3"/>
      <c r="E394" s="3" t="s">
        <v>1547</v>
      </c>
      <c r="F394" s="3"/>
      <c r="G394" s="4" t="s">
        <v>68</v>
      </c>
      <c r="H394" s="4" t="s">
        <v>68</v>
      </c>
      <c r="I394" s="2" t="s">
        <v>1545</v>
      </c>
      <c r="J394" s="3" t="s">
        <v>1548</v>
      </c>
      <c r="K394" s="3" t="s">
        <v>138</v>
      </c>
      <c r="L394" s="3" t="s">
        <v>1552</v>
      </c>
      <c r="M394" s="4" t="s">
        <v>25</v>
      </c>
      <c r="N394" s="4" t="s">
        <v>26</v>
      </c>
    </row>
    <row r="395" spans="1:14" ht="36" x14ac:dyDescent="0.25">
      <c r="A395" s="2" t="s">
        <v>1553</v>
      </c>
      <c r="B395" s="3" t="s">
        <v>1554</v>
      </c>
      <c r="C395" s="2" t="s">
        <v>1545</v>
      </c>
      <c r="D395" s="3" t="s">
        <v>1546</v>
      </c>
      <c r="E395" s="3" t="s">
        <v>1547</v>
      </c>
      <c r="F395" s="3" t="s">
        <v>138</v>
      </c>
      <c r="G395" s="4" t="s">
        <v>32</v>
      </c>
      <c r="H395" s="4" t="s">
        <v>32</v>
      </c>
      <c r="I395" s="2" t="s">
        <v>1545</v>
      </c>
      <c r="J395" s="3" t="s">
        <v>1548</v>
      </c>
      <c r="K395" s="3" t="s">
        <v>138</v>
      </c>
      <c r="L395" s="3" t="s">
        <v>1549</v>
      </c>
      <c r="M395" s="4" t="s">
        <v>34</v>
      </c>
      <c r="N395" s="4" t="s">
        <v>63</v>
      </c>
    </row>
    <row r="396" spans="1:14" ht="36" x14ac:dyDescent="0.25">
      <c r="A396" s="2" t="s">
        <v>1555</v>
      </c>
      <c r="B396" s="3" t="s">
        <v>1556</v>
      </c>
      <c r="C396" s="2" t="s">
        <v>66</v>
      </c>
      <c r="D396" s="3"/>
      <c r="E396" s="3" t="s">
        <v>1557</v>
      </c>
      <c r="F396" s="3"/>
      <c r="G396" s="4" t="s">
        <v>68</v>
      </c>
      <c r="H396" s="4" t="s">
        <v>68</v>
      </c>
      <c r="I396" s="2"/>
      <c r="J396" s="3"/>
      <c r="K396" s="3"/>
      <c r="L396" s="3" t="s">
        <v>1558</v>
      </c>
      <c r="M396" s="4" t="s">
        <v>25</v>
      </c>
      <c r="N396" s="4" t="s">
        <v>35</v>
      </c>
    </row>
    <row r="397" spans="1:14" ht="36" x14ac:dyDescent="0.25">
      <c r="A397" s="2" t="s">
        <v>1559</v>
      </c>
      <c r="B397" s="3" t="s">
        <v>1560</v>
      </c>
      <c r="C397" s="2" t="s">
        <v>1545</v>
      </c>
      <c r="D397" s="3" t="s">
        <v>1546</v>
      </c>
      <c r="E397" s="3" t="s">
        <v>1557</v>
      </c>
      <c r="F397" s="3" t="s">
        <v>138</v>
      </c>
      <c r="G397" s="4" t="s">
        <v>20</v>
      </c>
      <c r="H397" s="4" t="s">
        <v>32</v>
      </c>
      <c r="I397" s="2"/>
      <c r="J397" s="3"/>
      <c r="K397" s="3"/>
      <c r="L397" s="3" t="s">
        <v>1561</v>
      </c>
      <c r="M397" s="4" t="s">
        <v>25</v>
      </c>
      <c r="N397" s="4" t="s">
        <v>35</v>
      </c>
    </row>
    <row r="398" spans="1:14" ht="36" x14ac:dyDescent="0.25">
      <c r="A398" s="2" t="s">
        <v>1562</v>
      </c>
      <c r="B398" s="3" t="s">
        <v>1563</v>
      </c>
      <c r="C398" s="2" t="s">
        <v>66</v>
      </c>
      <c r="D398" s="3"/>
      <c r="E398" s="3" t="s">
        <v>1557</v>
      </c>
      <c r="F398" s="3"/>
      <c r="G398" s="4" t="s">
        <v>68</v>
      </c>
      <c r="H398" s="4" t="s">
        <v>68</v>
      </c>
      <c r="I398" s="2"/>
      <c r="J398" s="3"/>
      <c r="K398" s="3"/>
      <c r="L398" s="3" t="s">
        <v>1558</v>
      </c>
      <c r="M398" s="4" t="s">
        <v>25</v>
      </c>
      <c r="N398" s="4" t="s">
        <v>35</v>
      </c>
    </row>
    <row r="399" spans="1:14" ht="36" x14ac:dyDescent="0.25">
      <c r="A399" s="2" t="s">
        <v>1564</v>
      </c>
      <c r="B399" s="3" t="s">
        <v>1565</v>
      </c>
      <c r="C399" s="2" t="s">
        <v>172</v>
      </c>
      <c r="D399" s="3" t="s">
        <v>1566</v>
      </c>
      <c r="E399" s="3" t="s">
        <v>170</v>
      </c>
      <c r="F399" s="3" t="s">
        <v>174</v>
      </c>
      <c r="G399" s="4" t="s">
        <v>20</v>
      </c>
      <c r="H399" s="4" t="s">
        <v>32</v>
      </c>
      <c r="I399" s="2" t="s">
        <v>1567</v>
      </c>
      <c r="J399" s="3" t="s">
        <v>1568</v>
      </c>
      <c r="K399" s="3" t="s">
        <v>1363</v>
      </c>
      <c r="L399" s="3" t="s">
        <v>1569</v>
      </c>
      <c r="M399" s="4" t="s">
        <v>34</v>
      </c>
      <c r="N399" s="4" t="s">
        <v>26</v>
      </c>
    </row>
    <row r="400" spans="1:14" ht="36" x14ac:dyDescent="0.25">
      <c r="A400" s="2" t="s">
        <v>1570</v>
      </c>
      <c r="B400" s="3" t="s">
        <v>1571</v>
      </c>
      <c r="C400" s="2" t="s">
        <v>327</v>
      </c>
      <c r="D400" s="3" t="s">
        <v>328</v>
      </c>
      <c r="E400" s="3" t="s">
        <v>170</v>
      </c>
      <c r="F400" s="3" t="s">
        <v>205</v>
      </c>
      <c r="G400" s="4" t="s">
        <v>20</v>
      </c>
      <c r="H400" s="4" t="s">
        <v>20</v>
      </c>
      <c r="I400" s="2" t="s">
        <v>172</v>
      </c>
      <c r="J400" s="3" t="s">
        <v>173</v>
      </c>
      <c r="K400" s="3" t="s">
        <v>174</v>
      </c>
      <c r="L400" s="3" t="s">
        <v>1572</v>
      </c>
      <c r="M400" s="4" t="s">
        <v>25</v>
      </c>
      <c r="N400" s="4" t="s">
        <v>26</v>
      </c>
    </row>
    <row r="401" spans="1:14" ht="36" x14ac:dyDescent="0.25">
      <c r="A401" s="2" t="s">
        <v>1573</v>
      </c>
      <c r="B401" s="3" t="s">
        <v>1574</v>
      </c>
      <c r="C401" s="2" t="s">
        <v>66</v>
      </c>
      <c r="D401" s="3"/>
      <c r="E401" s="3" t="s">
        <v>170</v>
      </c>
      <c r="F401" s="3"/>
      <c r="G401" s="4" t="s">
        <v>68</v>
      </c>
      <c r="H401" s="4" t="s">
        <v>68</v>
      </c>
      <c r="I401" s="2" t="s">
        <v>172</v>
      </c>
      <c r="J401" s="3" t="s">
        <v>173</v>
      </c>
      <c r="K401" s="3" t="s">
        <v>174</v>
      </c>
      <c r="L401" s="3" t="s">
        <v>1575</v>
      </c>
      <c r="M401" s="4" t="s">
        <v>25</v>
      </c>
      <c r="N401" s="4" t="s">
        <v>26</v>
      </c>
    </row>
    <row r="402" spans="1:14" ht="36" x14ac:dyDescent="0.25">
      <c r="A402" s="2" t="s">
        <v>1576</v>
      </c>
      <c r="B402" s="3" t="s">
        <v>1577</v>
      </c>
      <c r="C402" s="2" t="s">
        <v>1321</v>
      </c>
      <c r="D402" s="3" t="s">
        <v>1578</v>
      </c>
      <c r="E402" s="3" t="s">
        <v>170</v>
      </c>
      <c r="F402" s="3" t="s">
        <v>1323</v>
      </c>
      <c r="G402" s="4" t="s">
        <v>20</v>
      </c>
      <c r="H402" s="4" t="s">
        <v>20</v>
      </c>
      <c r="I402" s="2" t="s">
        <v>172</v>
      </c>
      <c r="J402" s="3" t="s">
        <v>173</v>
      </c>
      <c r="K402" s="3" t="s">
        <v>174</v>
      </c>
      <c r="L402" s="3" t="s">
        <v>1579</v>
      </c>
      <c r="M402" s="4" t="s">
        <v>25</v>
      </c>
      <c r="N402" s="4" t="s">
        <v>26</v>
      </c>
    </row>
    <row r="403" spans="1:14" ht="36" x14ac:dyDescent="0.25">
      <c r="A403" s="2" t="s">
        <v>1580</v>
      </c>
      <c r="B403" s="3" t="s">
        <v>1581</v>
      </c>
      <c r="C403" s="2" t="s">
        <v>1582</v>
      </c>
      <c r="D403" s="3" t="s">
        <v>1583</v>
      </c>
      <c r="E403" s="3" t="s">
        <v>170</v>
      </c>
      <c r="F403" s="3" t="s">
        <v>1323</v>
      </c>
      <c r="G403" s="4" t="s">
        <v>20</v>
      </c>
      <c r="H403" s="4" t="s">
        <v>20</v>
      </c>
      <c r="I403" s="2" t="s">
        <v>172</v>
      </c>
      <c r="J403" s="3" t="s">
        <v>173</v>
      </c>
      <c r="K403" s="3" t="s">
        <v>174</v>
      </c>
      <c r="L403" s="3" t="s">
        <v>1584</v>
      </c>
      <c r="M403" s="4" t="s">
        <v>25</v>
      </c>
      <c r="N403" s="4" t="s">
        <v>26</v>
      </c>
    </row>
    <row r="404" spans="1:14" ht="36" x14ac:dyDescent="0.25">
      <c r="A404" s="2" t="s">
        <v>1585</v>
      </c>
      <c r="B404" s="3" t="s">
        <v>1176</v>
      </c>
      <c r="C404" s="2" t="s">
        <v>66</v>
      </c>
      <c r="D404" s="3"/>
      <c r="E404" s="3" t="s">
        <v>1586</v>
      </c>
      <c r="F404" s="3"/>
      <c r="G404" s="4" t="s">
        <v>68</v>
      </c>
      <c r="H404" s="4" t="s">
        <v>68</v>
      </c>
      <c r="I404" s="2"/>
      <c r="J404" s="3"/>
      <c r="K404" s="3"/>
      <c r="L404" s="3" t="s">
        <v>1587</v>
      </c>
      <c r="M404" s="4" t="s">
        <v>25</v>
      </c>
      <c r="N404" s="4" t="s">
        <v>35</v>
      </c>
    </row>
    <row r="405" spans="1:14" ht="24" x14ac:dyDescent="0.25">
      <c r="A405" s="2" t="s">
        <v>1588</v>
      </c>
      <c r="B405" s="3" t="s">
        <v>1589</v>
      </c>
      <c r="C405" s="2" t="s">
        <v>456</v>
      </c>
      <c r="D405" s="3" t="s">
        <v>455</v>
      </c>
      <c r="E405" s="3" t="s">
        <v>1590</v>
      </c>
      <c r="F405" s="3" t="s">
        <v>260</v>
      </c>
      <c r="G405" s="4" t="s">
        <v>20</v>
      </c>
      <c r="H405" s="4" t="s">
        <v>20</v>
      </c>
      <c r="I405" s="2" t="s">
        <v>1591</v>
      </c>
      <c r="J405" s="3" t="s">
        <v>1592</v>
      </c>
      <c r="K405" s="3" t="s">
        <v>274</v>
      </c>
      <c r="L405" s="3" t="s">
        <v>1593</v>
      </c>
      <c r="M405" s="4" t="s">
        <v>34</v>
      </c>
      <c r="N405" s="4" t="s">
        <v>26</v>
      </c>
    </row>
    <row r="406" spans="1:14" ht="36" x14ac:dyDescent="0.25">
      <c r="A406" s="2" t="s">
        <v>1594</v>
      </c>
      <c r="B406" s="3" t="s">
        <v>1566</v>
      </c>
      <c r="C406" s="2" t="s">
        <v>172</v>
      </c>
      <c r="D406" s="3" t="s">
        <v>1566</v>
      </c>
      <c r="E406" s="3" t="s">
        <v>170</v>
      </c>
      <c r="F406" s="3" t="s">
        <v>174</v>
      </c>
      <c r="G406" s="4" t="s">
        <v>32</v>
      </c>
      <c r="H406" s="4" t="s">
        <v>32</v>
      </c>
      <c r="I406" s="2" t="s">
        <v>172</v>
      </c>
      <c r="J406" s="3" t="s">
        <v>173</v>
      </c>
      <c r="K406" s="3" t="s">
        <v>174</v>
      </c>
      <c r="L406" s="3" t="s">
        <v>1595</v>
      </c>
      <c r="M406" s="4" t="s">
        <v>34</v>
      </c>
      <c r="N406" s="4" t="s">
        <v>63</v>
      </c>
    </row>
    <row r="407" spans="1:14" ht="48" x14ac:dyDescent="0.25">
      <c r="A407" s="2" t="s">
        <v>1596</v>
      </c>
      <c r="B407" s="3" t="s">
        <v>1597</v>
      </c>
      <c r="C407" s="2" t="s">
        <v>1340</v>
      </c>
      <c r="D407" s="3" t="s">
        <v>1516</v>
      </c>
      <c r="E407" s="3" t="s">
        <v>170</v>
      </c>
      <c r="F407" s="3" t="s">
        <v>1316</v>
      </c>
      <c r="G407" s="4" t="s">
        <v>20</v>
      </c>
      <c r="H407" s="4" t="s">
        <v>20</v>
      </c>
      <c r="I407" s="2" t="s">
        <v>172</v>
      </c>
      <c r="J407" s="3" t="s">
        <v>173</v>
      </c>
      <c r="K407" s="3" t="s">
        <v>174</v>
      </c>
      <c r="L407" s="3" t="s">
        <v>1598</v>
      </c>
      <c r="M407" s="4" t="s">
        <v>25</v>
      </c>
      <c r="N407" s="4" t="s">
        <v>26</v>
      </c>
    </row>
    <row r="408" spans="1:14" ht="48" x14ac:dyDescent="0.25">
      <c r="A408" s="2" t="s">
        <v>1599</v>
      </c>
      <c r="B408" s="3" t="s">
        <v>1600</v>
      </c>
      <c r="C408" s="2" t="s">
        <v>66</v>
      </c>
      <c r="D408" s="3"/>
      <c r="E408" s="3" t="s">
        <v>170</v>
      </c>
      <c r="F408" s="3"/>
      <c r="G408" s="4" t="s">
        <v>68</v>
      </c>
      <c r="H408" s="4" t="s">
        <v>68</v>
      </c>
      <c r="I408" s="2" t="s">
        <v>172</v>
      </c>
      <c r="J408" s="3" t="s">
        <v>173</v>
      </c>
      <c r="K408" s="3" t="s">
        <v>174</v>
      </c>
      <c r="L408" s="3" t="s">
        <v>1601</v>
      </c>
      <c r="M408" s="4" t="s">
        <v>25</v>
      </c>
      <c r="N408" s="4" t="s">
        <v>26</v>
      </c>
    </row>
    <row r="409" spans="1:14" ht="36" x14ac:dyDescent="0.25">
      <c r="A409" s="2" t="s">
        <v>1602</v>
      </c>
      <c r="B409" s="3" t="s">
        <v>1603</v>
      </c>
      <c r="C409" s="2" t="s">
        <v>66</v>
      </c>
      <c r="D409" s="3"/>
      <c r="E409" s="3" t="s">
        <v>170</v>
      </c>
      <c r="F409" s="3"/>
      <c r="G409" s="4" t="s">
        <v>68</v>
      </c>
      <c r="H409" s="4" t="s">
        <v>68</v>
      </c>
      <c r="I409" s="2" t="s">
        <v>1604</v>
      </c>
      <c r="J409" s="3" t="s">
        <v>1605</v>
      </c>
      <c r="K409" s="3" t="s">
        <v>1363</v>
      </c>
      <c r="L409" s="3" t="s">
        <v>1606</v>
      </c>
      <c r="M409" s="4" t="s">
        <v>34</v>
      </c>
      <c r="N409" s="4" t="s">
        <v>26</v>
      </c>
    </row>
    <row r="410" spans="1:14" ht="36" x14ac:dyDescent="0.25">
      <c r="A410" s="2" t="s">
        <v>1607</v>
      </c>
      <c r="B410" s="3" t="s">
        <v>1608</v>
      </c>
      <c r="C410" s="2" t="s">
        <v>66</v>
      </c>
      <c r="D410" s="3"/>
      <c r="E410" s="3" t="s">
        <v>170</v>
      </c>
      <c r="F410" s="3"/>
      <c r="G410" s="4" t="s">
        <v>68</v>
      </c>
      <c r="H410" s="4" t="s">
        <v>68</v>
      </c>
      <c r="I410" s="2" t="s">
        <v>1604</v>
      </c>
      <c r="J410" s="3" t="s">
        <v>1605</v>
      </c>
      <c r="K410" s="3" t="s">
        <v>1363</v>
      </c>
      <c r="L410" s="3" t="s">
        <v>1606</v>
      </c>
      <c r="M410" s="4" t="s">
        <v>34</v>
      </c>
      <c r="N410" s="4" t="s">
        <v>26</v>
      </c>
    </row>
    <row r="411" spans="1:14" ht="36" x14ac:dyDescent="0.25">
      <c r="A411" s="2" t="s">
        <v>1609</v>
      </c>
      <c r="B411" s="3" t="s">
        <v>1589</v>
      </c>
      <c r="C411" s="2" t="s">
        <v>456</v>
      </c>
      <c r="D411" s="3" t="s">
        <v>455</v>
      </c>
      <c r="E411" s="3" t="s">
        <v>1610</v>
      </c>
      <c r="F411" s="3" t="s">
        <v>260</v>
      </c>
      <c r="G411" s="4" t="s">
        <v>20</v>
      </c>
      <c r="H411" s="4" t="s">
        <v>1611</v>
      </c>
      <c r="I411" s="2" t="s">
        <v>1591</v>
      </c>
      <c r="J411" s="3" t="s">
        <v>1592</v>
      </c>
      <c r="K411" s="3" t="s">
        <v>274</v>
      </c>
      <c r="L411" s="3" t="s">
        <v>1612</v>
      </c>
      <c r="M411" s="4" t="s">
        <v>34</v>
      </c>
      <c r="N411" s="4" t="s">
        <v>26</v>
      </c>
    </row>
    <row r="412" spans="1:14" ht="48" x14ac:dyDescent="0.25">
      <c r="A412" s="2" t="s">
        <v>1613</v>
      </c>
      <c r="B412" s="3" t="s">
        <v>1614</v>
      </c>
      <c r="C412" s="2" t="s">
        <v>66</v>
      </c>
      <c r="D412" s="3"/>
      <c r="E412" s="3" t="s">
        <v>170</v>
      </c>
      <c r="F412" s="3"/>
      <c r="G412" s="4" t="s">
        <v>68</v>
      </c>
      <c r="H412" s="4" t="s">
        <v>68</v>
      </c>
      <c r="I412" s="2"/>
      <c r="J412" s="3"/>
      <c r="K412" s="3"/>
      <c r="L412" s="3" t="s">
        <v>1615</v>
      </c>
      <c r="M412" s="4" t="s">
        <v>234</v>
      </c>
      <c r="N412" s="4" t="s">
        <v>235</v>
      </c>
    </row>
    <row r="413" spans="1:14" ht="72" x14ac:dyDescent="0.25">
      <c r="A413" s="2" t="s">
        <v>1616</v>
      </c>
      <c r="B413" s="3" t="s">
        <v>1617</v>
      </c>
      <c r="C413" s="2" t="s">
        <v>1618</v>
      </c>
      <c r="D413" s="3" t="s">
        <v>1619</v>
      </c>
      <c r="E413" s="3" t="s">
        <v>1620</v>
      </c>
      <c r="F413" s="3" t="s">
        <v>138</v>
      </c>
      <c r="G413" s="4" t="s">
        <v>20</v>
      </c>
      <c r="H413" s="4" t="s">
        <v>32</v>
      </c>
      <c r="I413" s="2" t="s">
        <v>1621</v>
      </c>
      <c r="J413" s="3" t="s">
        <v>1622</v>
      </c>
      <c r="K413" s="3" t="s">
        <v>1257</v>
      </c>
      <c r="L413" s="3" t="s">
        <v>1623</v>
      </c>
      <c r="M413" s="4" t="s">
        <v>25</v>
      </c>
      <c r="N413" s="4" t="s">
        <v>26</v>
      </c>
    </row>
    <row r="414" spans="1:14" ht="36" x14ac:dyDescent="0.25">
      <c r="A414" s="2" t="s">
        <v>1624</v>
      </c>
      <c r="B414" s="3" t="s">
        <v>1625</v>
      </c>
      <c r="C414" s="2" t="s">
        <v>1618</v>
      </c>
      <c r="D414" s="3" t="s">
        <v>1619</v>
      </c>
      <c r="E414" s="3" t="s">
        <v>1620</v>
      </c>
      <c r="F414" s="3" t="s">
        <v>138</v>
      </c>
      <c r="G414" s="4" t="s">
        <v>20</v>
      </c>
      <c r="H414" s="4" t="s">
        <v>32</v>
      </c>
      <c r="I414" s="2" t="s">
        <v>1626</v>
      </c>
      <c r="J414" s="3" t="s">
        <v>1627</v>
      </c>
      <c r="K414" s="3" t="s">
        <v>594</v>
      </c>
      <c r="L414" s="3" t="s">
        <v>1628</v>
      </c>
      <c r="M414" s="4" t="s">
        <v>25</v>
      </c>
      <c r="N414" s="4" t="s">
        <v>26</v>
      </c>
    </row>
    <row r="415" spans="1:14" ht="72" x14ac:dyDescent="0.25">
      <c r="A415" s="2" t="s">
        <v>1629</v>
      </c>
      <c r="B415" s="3" t="s">
        <v>1630</v>
      </c>
      <c r="C415" s="2" t="s">
        <v>66</v>
      </c>
      <c r="D415" s="3"/>
      <c r="E415" s="3" t="s">
        <v>1620</v>
      </c>
      <c r="F415" s="3"/>
      <c r="G415" s="4" t="s">
        <v>68</v>
      </c>
      <c r="H415" s="4" t="s">
        <v>68</v>
      </c>
      <c r="I415" s="2" t="s">
        <v>1621</v>
      </c>
      <c r="J415" s="3" t="s">
        <v>1622</v>
      </c>
      <c r="K415" s="3" t="s">
        <v>1257</v>
      </c>
      <c r="L415" s="3" t="s">
        <v>1631</v>
      </c>
      <c r="M415" s="4" t="s">
        <v>25</v>
      </c>
      <c r="N415" s="4" t="s">
        <v>26</v>
      </c>
    </row>
    <row r="416" spans="1:14" ht="60" x14ac:dyDescent="0.25">
      <c r="A416" s="2" t="s">
        <v>1632</v>
      </c>
      <c r="B416" s="3" t="s">
        <v>1633</v>
      </c>
      <c r="C416" s="2" t="s">
        <v>1618</v>
      </c>
      <c r="D416" s="3" t="s">
        <v>1619</v>
      </c>
      <c r="E416" s="3" t="s">
        <v>1620</v>
      </c>
      <c r="F416" s="3" t="s">
        <v>138</v>
      </c>
      <c r="G416" s="4" t="s">
        <v>20</v>
      </c>
      <c r="H416" s="4" t="s">
        <v>32</v>
      </c>
      <c r="I416" s="2" t="s">
        <v>1621</v>
      </c>
      <c r="J416" s="3" t="s">
        <v>1622</v>
      </c>
      <c r="K416" s="3" t="s">
        <v>1257</v>
      </c>
      <c r="L416" s="3" t="s">
        <v>1634</v>
      </c>
      <c r="M416" s="4" t="s">
        <v>25</v>
      </c>
      <c r="N416" s="4" t="s">
        <v>26</v>
      </c>
    </row>
    <row r="417" spans="1:14" ht="72" x14ac:dyDescent="0.25">
      <c r="A417" s="2" t="s">
        <v>1635</v>
      </c>
      <c r="B417" s="3" t="s">
        <v>1636</v>
      </c>
      <c r="C417" s="2" t="s">
        <v>1637</v>
      </c>
      <c r="D417" s="3" t="s">
        <v>1638</v>
      </c>
      <c r="E417" s="3" t="s">
        <v>1620</v>
      </c>
      <c r="F417" s="3" t="s">
        <v>1451</v>
      </c>
      <c r="G417" s="4" t="s">
        <v>20</v>
      </c>
      <c r="H417" s="4" t="s">
        <v>20</v>
      </c>
      <c r="I417" s="2" t="s">
        <v>1621</v>
      </c>
      <c r="J417" s="3" t="s">
        <v>1622</v>
      </c>
      <c r="K417" s="3" t="s">
        <v>1257</v>
      </c>
      <c r="L417" s="3" t="s">
        <v>1639</v>
      </c>
      <c r="M417" s="4" t="s">
        <v>25</v>
      </c>
      <c r="N417" s="4" t="s">
        <v>26</v>
      </c>
    </row>
    <row r="418" spans="1:14" ht="60" x14ac:dyDescent="0.25">
      <c r="A418" s="2" t="s">
        <v>1640</v>
      </c>
      <c r="B418" s="3" t="s">
        <v>1641</v>
      </c>
      <c r="C418" s="2" t="s">
        <v>66</v>
      </c>
      <c r="D418" s="3"/>
      <c r="E418" s="3" t="s">
        <v>1620</v>
      </c>
      <c r="F418" s="3"/>
      <c r="G418" s="4" t="s">
        <v>68</v>
      </c>
      <c r="H418" s="4" t="s">
        <v>68</v>
      </c>
      <c r="I418" s="2" t="s">
        <v>1621</v>
      </c>
      <c r="J418" s="3" t="s">
        <v>1622</v>
      </c>
      <c r="K418" s="3" t="s">
        <v>1257</v>
      </c>
      <c r="L418" s="3" t="s">
        <v>1642</v>
      </c>
      <c r="M418" s="4" t="s">
        <v>25</v>
      </c>
      <c r="N418" s="4" t="s">
        <v>26</v>
      </c>
    </row>
    <row r="419" spans="1:14" ht="60" x14ac:dyDescent="0.25">
      <c r="A419" s="2" t="s">
        <v>1643</v>
      </c>
      <c r="B419" s="3" t="s">
        <v>1644</v>
      </c>
      <c r="C419" s="2" t="s">
        <v>66</v>
      </c>
      <c r="D419" s="3"/>
      <c r="E419" s="3" t="s">
        <v>1620</v>
      </c>
      <c r="F419" s="3"/>
      <c r="G419" s="4" t="s">
        <v>68</v>
      </c>
      <c r="H419" s="4" t="s">
        <v>68</v>
      </c>
      <c r="I419" s="2" t="s">
        <v>1621</v>
      </c>
      <c r="J419" s="3" t="s">
        <v>1622</v>
      </c>
      <c r="K419" s="3" t="s">
        <v>1257</v>
      </c>
      <c r="L419" s="3" t="s">
        <v>1642</v>
      </c>
      <c r="M419" s="4" t="s">
        <v>25</v>
      </c>
      <c r="N419" s="4" t="s">
        <v>26</v>
      </c>
    </row>
    <row r="420" spans="1:14" ht="60" x14ac:dyDescent="0.25">
      <c r="A420" s="2" t="s">
        <v>1645</v>
      </c>
      <c r="B420" s="3" t="s">
        <v>1646</v>
      </c>
      <c r="C420" s="2" t="s">
        <v>66</v>
      </c>
      <c r="D420" s="3"/>
      <c r="E420" s="3" t="s">
        <v>1620</v>
      </c>
      <c r="F420" s="3"/>
      <c r="G420" s="4" t="s">
        <v>68</v>
      </c>
      <c r="H420" s="4" t="s">
        <v>68</v>
      </c>
      <c r="I420" s="2" t="s">
        <v>1621</v>
      </c>
      <c r="J420" s="3" t="s">
        <v>1622</v>
      </c>
      <c r="K420" s="3" t="s">
        <v>1257</v>
      </c>
      <c r="L420" s="3" t="s">
        <v>1642</v>
      </c>
      <c r="M420" s="4" t="s">
        <v>25</v>
      </c>
      <c r="N420" s="4" t="s">
        <v>26</v>
      </c>
    </row>
    <row r="421" spans="1:14" ht="60" x14ac:dyDescent="0.25">
      <c r="A421" s="2" t="s">
        <v>1647</v>
      </c>
      <c r="B421" s="3" t="s">
        <v>1648</v>
      </c>
      <c r="C421" s="2" t="s">
        <v>66</v>
      </c>
      <c r="D421" s="3"/>
      <c r="E421" s="3" t="s">
        <v>1620</v>
      </c>
      <c r="F421" s="3"/>
      <c r="G421" s="4" t="s">
        <v>68</v>
      </c>
      <c r="H421" s="4" t="s">
        <v>68</v>
      </c>
      <c r="I421" s="2" t="s">
        <v>1621</v>
      </c>
      <c r="J421" s="3" t="s">
        <v>1622</v>
      </c>
      <c r="K421" s="3" t="s">
        <v>1257</v>
      </c>
      <c r="L421" s="3" t="s">
        <v>1642</v>
      </c>
      <c r="M421" s="4" t="s">
        <v>25</v>
      </c>
      <c r="N421" s="4" t="s">
        <v>26</v>
      </c>
    </row>
    <row r="422" spans="1:14" ht="60" x14ac:dyDescent="0.25">
      <c r="A422" s="2" t="s">
        <v>1649</v>
      </c>
      <c r="B422" s="3" t="s">
        <v>1650</v>
      </c>
      <c r="C422" s="2" t="s">
        <v>66</v>
      </c>
      <c r="D422" s="3"/>
      <c r="E422" s="3" t="s">
        <v>1620</v>
      </c>
      <c r="F422" s="3"/>
      <c r="G422" s="4" t="s">
        <v>68</v>
      </c>
      <c r="H422" s="4" t="s">
        <v>68</v>
      </c>
      <c r="I422" s="2" t="s">
        <v>1621</v>
      </c>
      <c r="J422" s="3" t="s">
        <v>1622</v>
      </c>
      <c r="K422" s="3" t="s">
        <v>1257</v>
      </c>
      <c r="L422" s="3" t="s">
        <v>1642</v>
      </c>
      <c r="M422" s="4" t="s">
        <v>25</v>
      </c>
      <c r="N422" s="4" t="s">
        <v>26</v>
      </c>
    </row>
    <row r="423" spans="1:14" ht="36" x14ac:dyDescent="0.25">
      <c r="A423" s="2" t="s">
        <v>1651</v>
      </c>
      <c r="B423" s="3" t="s">
        <v>1652</v>
      </c>
      <c r="C423" s="2" t="s">
        <v>66</v>
      </c>
      <c r="D423" s="3"/>
      <c r="E423" s="3" t="s">
        <v>1620</v>
      </c>
      <c r="F423" s="3"/>
      <c r="G423" s="4" t="s">
        <v>68</v>
      </c>
      <c r="H423" s="4" t="s">
        <v>68</v>
      </c>
      <c r="I423" s="2" t="s">
        <v>1653</v>
      </c>
      <c r="J423" s="3" t="s">
        <v>1654</v>
      </c>
      <c r="K423" s="3" t="s">
        <v>138</v>
      </c>
      <c r="L423" s="3" t="s">
        <v>1655</v>
      </c>
      <c r="M423" s="4" t="s">
        <v>25</v>
      </c>
      <c r="N423" s="4" t="s">
        <v>26</v>
      </c>
    </row>
    <row r="424" spans="1:14" ht="36" x14ac:dyDescent="0.25">
      <c r="A424" s="2" t="s">
        <v>1656</v>
      </c>
      <c r="B424" s="3" t="s">
        <v>1657</v>
      </c>
      <c r="C424" s="2" t="s">
        <v>66</v>
      </c>
      <c r="D424" s="3"/>
      <c r="E424" s="3" t="s">
        <v>1620</v>
      </c>
      <c r="F424" s="3"/>
      <c r="G424" s="4" t="s">
        <v>68</v>
      </c>
      <c r="H424" s="4" t="s">
        <v>68</v>
      </c>
      <c r="I424" s="2" t="s">
        <v>1653</v>
      </c>
      <c r="J424" s="3" t="s">
        <v>1654</v>
      </c>
      <c r="K424" s="3" t="s">
        <v>138</v>
      </c>
      <c r="L424" s="3" t="s">
        <v>1658</v>
      </c>
      <c r="M424" s="4" t="s">
        <v>25</v>
      </c>
      <c r="N424" s="4" t="s">
        <v>26</v>
      </c>
    </row>
    <row r="425" spans="1:14" ht="72" x14ac:dyDescent="0.25">
      <c r="A425" s="2" t="s">
        <v>1659</v>
      </c>
      <c r="B425" s="3" t="s">
        <v>1660</v>
      </c>
      <c r="C425" s="2" t="s">
        <v>1255</v>
      </c>
      <c r="D425" s="3" t="s">
        <v>1281</v>
      </c>
      <c r="E425" s="3" t="s">
        <v>1620</v>
      </c>
      <c r="F425" s="3" t="s">
        <v>1257</v>
      </c>
      <c r="G425" s="4" t="s">
        <v>32</v>
      </c>
      <c r="H425" s="4" t="s">
        <v>20</v>
      </c>
      <c r="I425" s="2" t="s">
        <v>1621</v>
      </c>
      <c r="J425" s="3" t="s">
        <v>1622</v>
      </c>
      <c r="K425" s="3" t="s">
        <v>1257</v>
      </c>
      <c r="L425" s="3" t="s">
        <v>1661</v>
      </c>
      <c r="M425" s="4" t="s">
        <v>25</v>
      </c>
      <c r="N425" s="4" t="s">
        <v>26</v>
      </c>
    </row>
    <row r="426" spans="1:14" ht="36" x14ac:dyDescent="0.25">
      <c r="A426" s="2" t="s">
        <v>1662</v>
      </c>
      <c r="B426" s="3" t="s">
        <v>1663</v>
      </c>
      <c r="C426" s="2" t="s">
        <v>1301</v>
      </c>
      <c r="D426" s="3" t="s">
        <v>1302</v>
      </c>
      <c r="E426" s="3" t="s">
        <v>1620</v>
      </c>
      <c r="F426" s="3" t="s">
        <v>499</v>
      </c>
      <c r="G426" s="4" t="s">
        <v>20</v>
      </c>
      <c r="H426" s="4" t="s">
        <v>20</v>
      </c>
      <c r="I426" s="2" t="s">
        <v>1626</v>
      </c>
      <c r="J426" s="3" t="s">
        <v>1627</v>
      </c>
      <c r="K426" s="3" t="s">
        <v>594</v>
      </c>
      <c r="L426" s="3" t="s">
        <v>1664</v>
      </c>
      <c r="M426" s="4" t="s">
        <v>34</v>
      </c>
      <c r="N426" s="4" t="s">
        <v>26</v>
      </c>
    </row>
    <row r="427" spans="1:14" ht="36" x14ac:dyDescent="0.25">
      <c r="A427" s="2" t="s">
        <v>1665</v>
      </c>
      <c r="B427" s="3" t="s">
        <v>1666</v>
      </c>
      <c r="C427" s="2" t="s">
        <v>66</v>
      </c>
      <c r="D427" s="3"/>
      <c r="E427" s="3" t="s">
        <v>1667</v>
      </c>
      <c r="F427" s="3"/>
      <c r="G427" s="4" t="s">
        <v>68</v>
      </c>
      <c r="H427" s="4" t="s">
        <v>68</v>
      </c>
      <c r="I427" s="2" t="s">
        <v>1668</v>
      </c>
      <c r="J427" s="3" t="s">
        <v>1669</v>
      </c>
      <c r="K427" s="3" t="s">
        <v>171</v>
      </c>
      <c r="L427" s="3" t="s">
        <v>1670</v>
      </c>
      <c r="M427" s="4" t="s">
        <v>25</v>
      </c>
      <c r="N427" s="4" t="s">
        <v>26</v>
      </c>
    </row>
    <row r="428" spans="1:14" ht="36" x14ac:dyDescent="0.25">
      <c r="A428" s="2" t="s">
        <v>1671</v>
      </c>
      <c r="B428" s="3" t="s">
        <v>1672</v>
      </c>
      <c r="C428" s="2" t="s">
        <v>66</v>
      </c>
      <c r="D428" s="3"/>
      <c r="E428" s="3" t="s">
        <v>1667</v>
      </c>
      <c r="F428" s="3"/>
      <c r="G428" s="4" t="s">
        <v>68</v>
      </c>
      <c r="H428" s="4" t="s">
        <v>68</v>
      </c>
      <c r="I428" s="2" t="s">
        <v>592</v>
      </c>
      <c r="J428" s="3" t="s">
        <v>1673</v>
      </c>
      <c r="K428" s="3" t="s">
        <v>594</v>
      </c>
      <c r="L428" s="3" t="s">
        <v>1674</v>
      </c>
      <c r="M428" s="4" t="s">
        <v>34</v>
      </c>
      <c r="N428" s="4" t="s">
        <v>26</v>
      </c>
    </row>
    <row r="429" spans="1:14" ht="36" x14ac:dyDescent="0.25">
      <c r="A429" s="2" t="s">
        <v>1675</v>
      </c>
      <c r="B429" s="3" t="s">
        <v>1676</v>
      </c>
      <c r="C429" s="2" t="s">
        <v>1677</v>
      </c>
      <c r="D429" s="3" t="s">
        <v>1678</v>
      </c>
      <c r="E429" s="3" t="s">
        <v>1667</v>
      </c>
      <c r="F429" s="3" t="s">
        <v>171</v>
      </c>
      <c r="G429" s="4" t="s">
        <v>20</v>
      </c>
      <c r="H429" s="4" t="s">
        <v>32</v>
      </c>
      <c r="I429" s="2" t="s">
        <v>592</v>
      </c>
      <c r="J429" s="3" t="s">
        <v>1673</v>
      </c>
      <c r="K429" s="3" t="s">
        <v>594</v>
      </c>
      <c r="L429" s="3" t="s">
        <v>1679</v>
      </c>
      <c r="M429" s="4" t="s">
        <v>25</v>
      </c>
      <c r="N429" s="4" t="s">
        <v>26</v>
      </c>
    </row>
    <row r="430" spans="1:14" ht="36" x14ac:dyDescent="0.25">
      <c r="A430" s="2" t="s">
        <v>1680</v>
      </c>
      <c r="B430" s="3" t="s">
        <v>1681</v>
      </c>
      <c r="C430" s="2" t="s">
        <v>592</v>
      </c>
      <c r="D430" s="3" t="s">
        <v>593</v>
      </c>
      <c r="E430" s="3" t="s">
        <v>1667</v>
      </c>
      <c r="F430" s="3" t="s">
        <v>594</v>
      </c>
      <c r="G430" s="4" t="s">
        <v>32</v>
      </c>
      <c r="H430" s="4" t="s">
        <v>32</v>
      </c>
      <c r="I430" s="2" t="s">
        <v>592</v>
      </c>
      <c r="J430" s="3" t="s">
        <v>1673</v>
      </c>
      <c r="K430" s="3" t="s">
        <v>594</v>
      </c>
      <c r="L430" s="3" t="s">
        <v>1682</v>
      </c>
      <c r="M430" s="4" t="s">
        <v>34</v>
      </c>
      <c r="N430" s="4" t="s">
        <v>63</v>
      </c>
    </row>
    <row r="431" spans="1:14" ht="36" x14ac:dyDescent="0.25">
      <c r="A431" s="2" t="s">
        <v>1683</v>
      </c>
      <c r="B431" s="3" t="s">
        <v>1684</v>
      </c>
      <c r="C431" s="2" t="s">
        <v>66</v>
      </c>
      <c r="D431" s="3"/>
      <c r="E431" s="3" t="s">
        <v>1667</v>
      </c>
      <c r="F431" s="3"/>
      <c r="G431" s="4" t="s">
        <v>68</v>
      </c>
      <c r="H431" s="4" t="s">
        <v>68</v>
      </c>
      <c r="I431" s="2" t="s">
        <v>592</v>
      </c>
      <c r="J431" s="3" t="s">
        <v>1673</v>
      </c>
      <c r="K431" s="3" t="s">
        <v>594</v>
      </c>
      <c r="L431" s="3" t="s">
        <v>1674</v>
      </c>
      <c r="M431" s="4" t="s">
        <v>34</v>
      </c>
      <c r="N431" s="4" t="s">
        <v>26</v>
      </c>
    </row>
    <row r="432" spans="1:14" ht="36" x14ac:dyDescent="0.25">
      <c r="A432" s="2" t="s">
        <v>1685</v>
      </c>
      <c r="B432" s="3" t="s">
        <v>1686</v>
      </c>
      <c r="C432" s="2" t="s">
        <v>592</v>
      </c>
      <c r="D432" s="3" t="s">
        <v>593</v>
      </c>
      <c r="E432" s="3" t="s">
        <v>1667</v>
      </c>
      <c r="F432" s="3" t="s">
        <v>594</v>
      </c>
      <c r="G432" s="4" t="s">
        <v>32</v>
      </c>
      <c r="H432" s="4" t="s">
        <v>32</v>
      </c>
      <c r="I432" s="2" t="s">
        <v>592</v>
      </c>
      <c r="J432" s="3" t="s">
        <v>1673</v>
      </c>
      <c r="K432" s="3" t="s">
        <v>594</v>
      </c>
      <c r="L432" s="3" t="s">
        <v>1682</v>
      </c>
      <c r="M432" s="4" t="s">
        <v>34</v>
      </c>
      <c r="N432" s="4" t="s">
        <v>63</v>
      </c>
    </row>
    <row r="433" spans="1:14" ht="36" x14ac:dyDescent="0.25">
      <c r="A433" s="2" t="s">
        <v>1687</v>
      </c>
      <c r="B433" s="3" t="s">
        <v>1688</v>
      </c>
      <c r="C433" s="2" t="s">
        <v>42</v>
      </c>
      <c r="D433" s="3" t="s">
        <v>1689</v>
      </c>
      <c r="E433" s="3" t="s">
        <v>1667</v>
      </c>
      <c r="F433" s="3" t="s">
        <v>19</v>
      </c>
      <c r="G433" s="4" t="s">
        <v>20</v>
      </c>
      <c r="H433" s="4" t="s">
        <v>20</v>
      </c>
      <c r="I433" s="2" t="s">
        <v>592</v>
      </c>
      <c r="J433" s="3" t="s">
        <v>1673</v>
      </c>
      <c r="K433" s="3" t="s">
        <v>594</v>
      </c>
      <c r="L433" s="3" t="s">
        <v>1690</v>
      </c>
      <c r="M433" s="4" t="s">
        <v>34</v>
      </c>
      <c r="N433" s="4" t="s">
        <v>26</v>
      </c>
    </row>
    <row r="434" spans="1:14" ht="36" x14ac:dyDescent="0.25">
      <c r="A434" s="2" t="s">
        <v>1691</v>
      </c>
      <c r="B434" s="3" t="s">
        <v>1692</v>
      </c>
      <c r="C434" s="2" t="s">
        <v>1693</v>
      </c>
      <c r="D434" s="3" t="s">
        <v>1694</v>
      </c>
      <c r="E434" s="3" t="s">
        <v>1695</v>
      </c>
      <c r="F434" s="3" t="s">
        <v>1696</v>
      </c>
      <c r="G434" s="4" t="s">
        <v>20</v>
      </c>
      <c r="H434" s="4" t="s">
        <v>20</v>
      </c>
      <c r="I434" s="2" t="s">
        <v>1452</v>
      </c>
      <c r="J434" s="3" t="s">
        <v>1453</v>
      </c>
      <c r="K434" s="3" t="s">
        <v>171</v>
      </c>
      <c r="L434" s="3" t="s">
        <v>1697</v>
      </c>
      <c r="M434" s="4" t="s">
        <v>25</v>
      </c>
      <c r="N434" s="4" t="s">
        <v>26</v>
      </c>
    </row>
    <row r="435" spans="1:14" ht="60" x14ac:dyDescent="0.25">
      <c r="A435" s="2" t="s">
        <v>1698</v>
      </c>
      <c r="B435" s="3" t="s">
        <v>1699</v>
      </c>
      <c r="C435" s="2" t="s">
        <v>66</v>
      </c>
      <c r="D435" s="3"/>
      <c r="E435" s="3" t="s">
        <v>1700</v>
      </c>
      <c r="F435" s="3"/>
      <c r="G435" s="4" t="s">
        <v>68</v>
      </c>
      <c r="H435" s="4" t="s">
        <v>68</v>
      </c>
      <c r="I435" s="2" t="s">
        <v>1621</v>
      </c>
      <c r="J435" s="3" t="s">
        <v>1622</v>
      </c>
      <c r="K435" s="3" t="s">
        <v>1257</v>
      </c>
      <c r="L435" s="3" t="s">
        <v>1701</v>
      </c>
      <c r="M435" s="4" t="s">
        <v>25</v>
      </c>
      <c r="N435" s="4" t="s">
        <v>26</v>
      </c>
    </row>
    <row r="436" spans="1:14" ht="36" x14ac:dyDescent="0.25">
      <c r="A436" s="2" t="s">
        <v>1702</v>
      </c>
      <c r="B436" s="3" t="s">
        <v>1703</v>
      </c>
      <c r="C436" s="2" t="s">
        <v>66</v>
      </c>
      <c r="D436" s="3"/>
      <c r="E436" s="3" t="s">
        <v>1700</v>
      </c>
      <c r="F436" s="3"/>
      <c r="G436" s="4" t="s">
        <v>68</v>
      </c>
      <c r="H436" s="4" t="s">
        <v>68</v>
      </c>
      <c r="I436" s="2" t="s">
        <v>1261</v>
      </c>
      <c r="J436" s="3" t="s">
        <v>1704</v>
      </c>
      <c r="K436" s="3" t="s">
        <v>138</v>
      </c>
      <c r="L436" s="3" t="s">
        <v>1705</v>
      </c>
      <c r="M436" s="4" t="s">
        <v>25</v>
      </c>
      <c r="N436" s="4" t="s">
        <v>26</v>
      </c>
    </row>
    <row r="437" spans="1:14" ht="36" x14ac:dyDescent="0.25">
      <c r="A437" s="2" t="s">
        <v>1706</v>
      </c>
      <c r="B437" s="3" t="s">
        <v>1707</v>
      </c>
      <c r="C437" s="2" t="s">
        <v>779</v>
      </c>
      <c r="D437" s="3" t="s">
        <v>780</v>
      </c>
      <c r="E437" s="3" t="s">
        <v>1700</v>
      </c>
      <c r="F437" s="3" t="s">
        <v>781</v>
      </c>
      <c r="G437" s="4" t="s">
        <v>20</v>
      </c>
      <c r="H437" s="4" t="s">
        <v>20</v>
      </c>
      <c r="I437" s="2" t="s">
        <v>1361</v>
      </c>
      <c r="J437" s="3" t="s">
        <v>1708</v>
      </c>
      <c r="K437" s="3" t="s">
        <v>1363</v>
      </c>
      <c r="L437" s="3" t="s">
        <v>1709</v>
      </c>
      <c r="M437" s="4" t="s">
        <v>34</v>
      </c>
      <c r="N437" s="4" t="s">
        <v>26</v>
      </c>
    </row>
    <row r="438" spans="1:14" ht="36" x14ac:dyDescent="0.25">
      <c r="A438" s="2" t="s">
        <v>1710</v>
      </c>
      <c r="B438" s="3" t="s">
        <v>1711</v>
      </c>
      <c r="C438" s="2" t="s">
        <v>1712</v>
      </c>
      <c r="D438" s="3" t="s">
        <v>1713</v>
      </c>
      <c r="E438" s="3" t="s">
        <v>1700</v>
      </c>
      <c r="F438" s="3" t="s">
        <v>499</v>
      </c>
      <c r="G438" s="4" t="s">
        <v>20</v>
      </c>
      <c r="H438" s="4" t="s">
        <v>20</v>
      </c>
      <c r="I438" s="2" t="s">
        <v>1714</v>
      </c>
      <c r="J438" s="3" t="s">
        <v>1715</v>
      </c>
      <c r="K438" s="3" t="s">
        <v>1536</v>
      </c>
      <c r="L438" s="3" t="s">
        <v>1716</v>
      </c>
      <c r="M438" s="4" t="s">
        <v>25</v>
      </c>
      <c r="N438" s="4" t="s">
        <v>26</v>
      </c>
    </row>
    <row r="439" spans="1:14" ht="36" x14ac:dyDescent="0.25">
      <c r="A439" s="2" t="s">
        <v>1717</v>
      </c>
      <c r="B439" s="3" t="s">
        <v>1718</v>
      </c>
      <c r="C439" s="2" t="s">
        <v>1534</v>
      </c>
      <c r="D439" s="3" t="s">
        <v>1719</v>
      </c>
      <c r="E439" s="3" t="s">
        <v>1700</v>
      </c>
      <c r="F439" s="3" t="s">
        <v>1536</v>
      </c>
      <c r="G439" s="4" t="s">
        <v>20</v>
      </c>
      <c r="H439" s="4" t="s">
        <v>32</v>
      </c>
      <c r="I439" s="2" t="s">
        <v>1720</v>
      </c>
      <c r="J439" s="3" t="s">
        <v>1721</v>
      </c>
      <c r="K439" s="3" t="s">
        <v>1536</v>
      </c>
      <c r="L439" s="3" t="s">
        <v>1722</v>
      </c>
      <c r="M439" s="4" t="s">
        <v>34</v>
      </c>
      <c r="N439" s="4" t="s">
        <v>26</v>
      </c>
    </row>
    <row r="440" spans="1:14" ht="36" x14ac:dyDescent="0.25">
      <c r="A440" s="2" t="s">
        <v>1723</v>
      </c>
      <c r="B440" s="3" t="s">
        <v>1724</v>
      </c>
      <c r="C440" s="2" t="s">
        <v>1725</v>
      </c>
      <c r="D440" s="3" t="s">
        <v>1726</v>
      </c>
      <c r="E440" s="3" t="s">
        <v>1700</v>
      </c>
      <c r="F440" s="3" t="s">
        <v>1536</v>
      </c>
      <c r="G440" s="4" t="s">
        <v>32</v>
      </c>
      <c r="H440" s="4" t="s">
        <v>32</v>
      </c>
      <c r="I440" s="2" t="s">
        <v>1725</v>
      </c>
      <c r="J440" s="3" t="s">
        <v>1727</v>
      </c>
      <c r="K440" s="3" t="s">
        <v>1536</v>
      </c>
      <c r="L440" s="3" t="s">
        <v>1728</v>
      </c>
      <c r="M440" s="4" t="s">
        <v>34</v>
      </c>
      <c r="N440" s="4" t="s">
        <v>63</v>
      </c>
    </row>
    <row r="441" spans="1:14" ht="36" x14ac:dyDescent="0.25">
      <c r="A441" s="2" t="s">
        <v>1729</v>
      </c>
      <c r="B441" s="3" t="s">
        <v>1730</v>
      </c>
      <c r="C441" s="2" t="s">
        <v>1731</v>
      </c>
      <c r="D441" s="3" t="s">
        <v>1732</v>
      </c>
      <c r="E441" s="3" t="s">
        <v>1700</v>
      </c>
      <c r="F441" s="3" t="s">
        <v>1536</v>
      </c>
      <c r="G441" s="4" t="s">
        <v>32</v>
      </c>
      <c r="H441" s="4" t="s">
        <v>32</v>
      </c>
      <c r="I441" s="2" t="s">
        <v>1731</v>
      </c>
      <c r="J441" s="3" t="s">
        <v>1733</v>
      </c>
      <c r="K441" s="3" t="s">
        <v>1536</v>
      </c>
      <c r="L441" s="3" t="s">
        <v>1734</v>
      </c>
      <c r="M441" s="4" t="s">
        <v>34</v>
      </c>
      <c r="N441" s="4" t="s">
        <v>63</v>
      </c>
    </row>
    <row r="442" spans="1:14" ht="36" x14ac:dyDescent="0.25">
      <c r="A442" s="2" t="s">
        <v>1735</v>
      </c>
      <c r="B442" s="3" t="s">
        <v>1736</v>
      </c>
      <c r="C442" s="2" t="s">
        <v>1712</v>
      </c>
      <c r="D442" s="3" t="s">
        <v>1713</v>
      </c>
      <c r="E442" s="3" t="s">
        <v>1700</v>
      </c>
      <c r="F442" s="3" t="s">
        <v>499</v>
      </c>
      <c r="G442" s="4" t="s">
        <v>20</v>
      </c>
      <c r="H442" s="4" t="s">
        <v>20</v>
      </c>
      <c r="I442" s="2" t="s">
        <v>1737</v>
      </c>
      <c r="J442" s="3" t="s">
        <v>1738</v>
      </c>
      <c r="K442" s="3" t="s">
        <v>1536</v>
      </c>
      <c r="L442" s="3" t="s">
        <v>1739</v>
      </c>
      <c r="M442" s="4" t="s">
        <v>25</v>
      </c>
      <c r="N442" s="4" t="s">
        <v>26</v>
      </c>
    </row>
    <row r="443" spans="1:14" ht="36" x14ac:dyDescent="0.25">
      <c r="A443" s="2" t="s">
        <v>1740</v>
      </c>
      <c r="B443" s="3" t="s">
        <v>1741</v>
      </c>
      <c r="C443" s="2" t="s">
        <v>1712</v>
      </c>
      <c r="D443" s="3" t="s">
        <v>1713</v>
      </c>
      <c r="E443" s="3" t="s">
        <v>1700</v>
      </c>
      <c r="F443" s="3" t="s">
        <v>499</v>
      </c>
      <c r="G443" s="4" t="s">
        <v>20</v>
      </c>
      <c r="H443" s="4" t="s">
        <v>20</v>
      </c>
      <c r="I443" s="2" t="s">
        <v>1714</v>
      </c>
      <c r="J443" s="3" t="s">
        <v>1715</v>
      </c>
      <c r="K443" s="3" t="s">
        <v>1536</v>
      </c>
      <c r="L443" s="3" t="s">
        <v>1716</v>
      </c>
      <c r="M443" s="4" t="s">
        <v>34</v>
      </c>
      <c r="N443" s="4" t="s">
        <v>26</v>
      </c>
    </row>
    <row r="444" spans="1:14" ht="36" x14ac:dyDescent="0.25">
      <c r="A444" s="2" t="s">
        <v>1742</v>
      </c>
      <c r="B444" s="3" t="s">
        <v>1743</v>
      </c>
      <c r="C444" s="2" t="s">
        <v>1712</v>
      </c>
      <c r="D444" s="3" t="s">
        <v>1713</v>
      </c>
      <c r="E444" s="3" t="s">
        <v>1700</v>
      </c>
      <c r="F444" s="3" t="s">
        <v>499</v>
      </c>
      <c r="G444" s="4" t="s">
        <v>20</v>
      </c>
      <c r="H444" s="4" t="s">
        <v>20</v>
      </c>
      <c r="I444" s="2" t="s">
        <v>1744</v>
      </c>
      <c r="J444" s="3" t="s">
        <v>1745</v>
      </c>
      <c r="K444" s="3" t="s">
        <v>138</v>
      </c>
      <c r="L444" s="3" t="s">
        <v>1746</v>
      </c>
      <c r="M444" s="4" t="s">
        <v>34</v>
      </c>
      <c r="N444" s="4" t="s">
        <v>26</v>
      </c>
    </row>
    <row r="445" spans="1:14" ht="36" x14ac:dyDescent="0.25">
      <c r="A445" s="2" t="s">
        <v>1747</v>
      </c>
      <c r="B445" s="3" t="s">
        <v>1748</v>
      </c>
      <c r="C445" s="2" t="s">
        <v>1637</v>
      </c>
      <c r="D445" s="3" t="s">
        <v>1638</v>
      </c>
      <c r="E445" s="3" t="s">
        <v>1700</v>
      </c>
      <c r="F445" s="3" t="s">
        <v>1451</v>
      </c>
      <c r="G445" s="4" t="s">
        <v>20</v>
      </c>
      <c r="H445" s="4" t="s">
        <v>20</v>
      </c>
      <c r="I445" s="2" t="s">
        <v>1749</v>
      </c>
      <c r="J445" s="3" t="s">
        <v>1750</v>
      </c>
      <c r="K445" s="3" t="s">
        <v>1751</v>
      </c>
      <c r="L445" s="3" t="s">
        <v>1752</v>
      </c>
      <c r="M445" s="4" t="s">
        <v>25</v>
      </c>
      <c r="N445" s="4" t="s">
        <v>26</v>
      </c>
    </row>
    <row r="446" spans="1:14" ht="60" x14ac:dyDescent="0.25">
      <c r="A446" s="2" t="s">
        <v>1753</v>
      </c>
      <c r="B446" s="3" t="s">
        <v>1754</v>
      </c>
      <c r="C446" s="2" t="s">
        <v>1063</v>
      </c>
      <c r="D446" s="3" t="s">
        <v>1755</v>
      </c>
      <c r="E446" s="3" t="s">
        <v>1700</v>
      </c>
      <c r="F446" s="3" t="s">
        <v>148</v>
      </c>
      <c r="G446" s="4" t="s">
        <v>20</v>
      </c>
      <c r="H446" s="4" t="s">
        <v>20</v>
      </c>
      <c r="I446" s="2" t="s">
        <v>1452</v>
      </c>
      <c r="J446" s="3" t="s">
        <v>1453</v>
      </c>
      <c r="K446" s="3" t="s">
        <v>171</v>
      </c>
      <c r="L446" s="3" t="s">
        <v>1756</v>
      </c>
      <c r="M446" s="4" t="s">
        <v>25</v>
      </c>
      <c r="N446" s="4" t="s">
        <v>26</v>
      </c>
    </row>
    <row r="447" spans="1:14" ht="60" x14ac:dyDescent="0.25">
      <c r="A447" s="2" t="s">
        <v>1757</v>
      </c>
      <c r="B447" s="3" t="s">
        <v>1758</v>
      </c>
      <c r="C447" s="2" t="s">
        <v>66</v>
      </c>
      <c r="D447" s="3"/>
      <c r="E447" s="3" t="s">
        <v>1700</v>
      </c>
      <c r="F447" s="3"/>
      <c r="G447" s="4" t="s">
        <v>68</v>
      </c>
      <c r="H447" s="4" t="s">
        <v>68</v>
      </c>
      <c r="I447" s="2" t="s">
        <v>1621</v>
      </c>
      <c r="J447" s="3" t="s">
        <v>1622</v>
      </c>
      <c r="K447" s="3" t="s">
        <v>1257</v>
      </c>
      <c r="L447" s="3" t="s">
        <v>1759</v>
      </c>
      <c r="M447" s="4" t="s">
        <v>25</v>
      </c>
      <c r="N447" s="4" t="s">
        <v>26</v>
      </c>
    </row>
    <row r="448" spans="1:14" ht="36" x14ac:dyDescent="0.25">
      <c r="A448" s="2" t="s">
        <v>1760</v>
      </c>
      <c r="B448" s="3" t="s">
        <v>1761</v>
      </c>
      <c r="C448" s="2" t="s">
        <v>172</v>
      </c>
      <c r="D448" s="3" t="s">
        <v>1566</v>
      </c>
      <c r="E448" s="3" t="s">
        <v>1700</v>
      </c>
      <c r="F448" s="3" t="s">
        <v>174</v>
      </c>
      <c r="G448" s="4" t="s">
        <v>20</v>
      </c>
      <c r="H448" s="4" t="s">
        <v>20</v>
      </c>
      <c r="I448" s="2" t="s">
        <v>1452</v>
      </c>
      <c r="J448" s="3" t="s">
        <v>1453</v>
      </c>
      <c r="K448" s="3" t="s">
        <v>171</v>
      </c>
      <c r="L448" s="3" t="s">
        <v>1762</v>
      </c>
      <c r="M448" s="4" t="s">
        <v>25</v>
      </c>
      <c r="N448" s="4" t="s">
        <v>26</v>
      </c>
    </row>
    <row r="449" spans="1:14" ht="36" x14ac:dyDescent="0.25">
      <c r="A449" s="2" t="s">
        <v>1763</v>
      </c>
      <c r="B449" s="3" t="s">
        <v>1764</v>
      </c>
      <c r="C449" s="2" t="s">
        <v>66</v>
      </c>
      <c r="D449" s="3"/>
      <c r="E449" s="3" t="s">
        <v>1700</v>
      </c>
      <c r="F449" s="3"/>
      <c r="G449" s="4" t="s">
        <v>68</v>
      </c>
      <c r="H449" s="4" t="s">
        <v>68</v>
      </c>
      <c r="I449" s="2" t="s">
        <v>136</v>
      </c>
      <c r="J449" s="3" t="s">
        <v>1765</v>
      </c>
      <c r="K449" s="3" t="s">
        <v>138</v>
      </c>
      <c r="L449" s="3" t="s">
        <v>1766</v>
      </c>
      <c r="M449" s="4" t="s">
        <v>25</v>
      </c>
      <c r="N449" s="4" t="s">
        <v>26</v>
      </c>
    </row>
    <row r="450" spans="1:14" ht="60" x14ac:dyDescent="0.25">
      <c r="A450" s="2" t="s">
        <v>1767</v>
      </c>
      <c r="B450" s="3" t="s">
        <v>1768</v>
      </c>
      <c r="C450" s="2" t="s">
        <v>1769</v>
      </c>
      <c r="D450" s="3" t="s">
        <v>1770</v>
      </c>
      <c r="E450" s="3" t="s">
        <v>1700</v>
      </c>
      <c r="F450" s="3" t="s">
        <v>1316</v>
      </c>
      <c r="G450" s="4" t="s">
        <v>20</v>
      </c>
      <c r="H450" s="4" t="s">
        <v>20</v>
      </c>
      <c r="I450" s="2" t="s">
        <v>1621</v>
      </c>
      <c r="J450" s="3" t="s">
        <v>1622</v>
      </c>
      <c r="K450" s="3" t="s">
        <v>1257</v>
      </c>
      <c r="L450" s="3" t="s">
        <v>1771</v>
      </c>
      <c r="M450" s="4" t="s">
        <v>25</v>
      </c>
      <c r="N450" s="4" t="s">
        <v>26</v>
      </c>
    </row>
    <row r="451" spans="1:14" ht="36" x14ac:dyDescent="0.25">
      <c r="A451" s="2" t="s">
        <v>1772</v>
      </c>
      <c r="B451" s="3" t="s">
        <v>1773</v>
      </c>
      <c r="C451" s="2" t="s">
        <v>1774</v>
      </c>
      <c r="D451" s="3" t="s">
        <v>1775</v>
      </c>
      <c r="E451" s="3" t="s">
        <v>1700</v>
      </c>
      <c r="F451" s="3" t="s">
        <v>138</v>
      </c>
      <c r="G451" s="4" t="s">
        <v>32</v>
      </c>
      <c r="H451" s="4" t="s">
        <v>32</v>
      </c>
      <c r="I451" s="2" t="s">
        <v>1774</v>
      </c>
      <c r="J451" s="3" t="s">
        <v>1776</v>
      </c>
      <c r="K451" s="3" t="s">
        <v>138</v>
      </c>
      <c r="L451" s="3" t="s">
        <v>1777</v>
      </c>
      <c r="M451" s="4" t="s">
        <v>34</v>
      </c>
      <c r="N451" s="4" t="s">
        <v>63</v>
      </c>
    </row>
    <row r="452" spans="1:14" ht="36" x14ac:dyDescent="0.25">
      <c r="A452" s="2" t="s">
        <v>1778</v>
      </c>
      <c r="B452" s="3" t="s">
        <v>1779</v>
      </c>
      <c r="C452" s="2" t="s">
        <v>66</v>
      </c>
      <c r="D452" s="3"/>
      <c r="E452" s="3" t="s">
        <v>1700</v>
      </c>
      <c r="F452" s="3"/>
      <c r="G452" s="4" t="s">
        <v>68</v>
      </c>
      <c r="H452" s="4" t="s">
        <v>68</v>
      </c>
      <c r="I452" s="2" t="s">
        <v>1261</v>
      </c>
      <c r="J452" s="3" t="s">
        <v>1704</v>
      </c>
      <c r="K452" s="3" t="s">
        <v>138</v>
      </c>
      <c r="L452" s="3" t="s">
        <v>1780</v>
      </c>
      <c r="M452" s="4" t="s">
        <v>25</v>
      </c>
      <c r="N452" s="4" t="s">
        <v>26</v>
      </c>
    </row>
    <row r="453" spans="1:14" ht="36" x14ac:dyDescent="0.25">
      <c r="A453" s="2" t="s">
        <v>1781</v>
      </c>
      <c r="B453" s="3" t="s">
        <v>1638</v>
      </c>
      <c r="C453" s="2" t="s">
        <v>1637</v>
      </c>
      <c r="D453" s="3" t="s">
        <v>1638</v>
      </c>
      <c r="E453" s="3" t="s">
        <v>1700</v>
      </c>
      <c r="F453" s="3" t="s">
        <v>1451</v>
      </c>
      <c r="G453" s="4" t="s">
        <v>20</v>
      </c>
      <c r="H453" s="4" t="s">
        <v>20</v>
      </c>
      <c r="I453" s="2" t="s">
        <v>1452</v>
      </c>
      <c r="J453" s="3" t="s">
        <v>1453</v>
      </c>
      <c r="K453" s="3" t="s">
        <v>171</v>
      </c>
      <c r="L453" s="3" t="s">
        <v>1782</v>
      </c>
      <c r="M453" s="4" t="s">
        <v>34</v>
      </c>
      <c r="N453" s="4" t="s">
        <v>26</v>
      </c>
    </row>
    <row r="454" spans="1:14" ht="48" x14ac:dyDescent="0.25">
      <c r="A454" s="2" t="s">
        <v>1783</v>
      </c>
      <c r="B454" s="3" t="s">
        <v>1784</v>
      </c>
      <c r="C454" s="2" t="s">
        <v>1340</v>
      </c>
      <c r="D454" s="3" t="s">
        <v>1516</v>
      </c>
      <c r="E454" s="3" t="s">
        <v>1700</v>
      </c>
      <c r="F454" s="3" t="s">
        <v>1316</v>
      </c>
      <c r="G454" s="4" t="s">
        <v>20</v>
      </c>
      <c r="H454" s="4" t="s">
        <v>20</v>
      </c>
      <c r="I454" s="2" t="s">
        <v>1452</v>
      </c>
      <c r="J454" s="3" t="s">
        <v>1453</v>
      </c>
      <c r="K454" s="3" t="s">
        <v>171</v>
      </c>
      <c r="L454" s="3" t="s">
        <v>1785</v>
      </c>
      <c r="M454" s="4" t="s">
        <v>25</v>
      </c>
      <c r="N454" s="4" t="s">
        <v>26</v>
      </c>
    </row>
    <row r="455" spans="1:14" ht="60" x14ac:dyDescent="0.25">
      <c r="A455" s="2" t="s">
        <v>1786</v>
      </c>
      <c r="B455" s="3" t="s">
        <v>1787</v>
      </c>
      <c r="C455" s="2" t="s">
        <v>1637</v>
      </c>
      <c r="D455" s="3" t="s">
        <v>1638</v>
      </c>
      <c r="E455" s="3" t="s">
        <v>1700</v>
      </c>
      <c r="F455" s="3" t="s">
        <v>1451</v>
      </c>
      <c r="G455" s="4" t="s">
        <v>20</v>
      </c>
      <c r="H455" s="4" t="s">
        <v>20</v>
      </c>
      <c r="I455" s="2" t="s">
        <v>1621</v>
      </c>
      <c r="J455" s="3" t="s">
        <v>1622</v>
      </c>
      <c r="K455" s="3" t="s">
        <v>1257</v>
      </c>
      <c r="L455" s="3" t="s">
        <v>1788</v>
      </c>
      <c r="M455" s="4" t="s">
        <v>25</v>
      </c>
      <c r="N455" s="4" t="s">
        <v>26</v>
      </c>
    </row>
    <row r="456" spans="1:14" ht="48" x14ac:dyDescent="0.25">
      <c r="A456" s="2" t="s">
        <v>1789</v>
      </c>
      <c r="B456" s="3" t="s">
        <v>1790</v>
      </c>
      <c r="C456" s="2" t="s">
        <v>66</v>
      </c>
      <c r="D456" s="3"/>
      <c r="E456" s="3" t="s">
        <v>1700</v>
      </c>
      <c r="F456" s="3"/>
      <c r="G456" s="4" t="s">
        <v>68</v>
      </c>
      <c r="H456" s="4" t="s">
        <v>68</v>
      </c>
      <c r="I456" s="2" t="s">
        <v>1621</v>
      </c>
      <c r="J456" s="3" t="s">
        <v>1622</v>
      </c>
      <c r="K456" s="3" t="s">
        <v>1257</v>
      </c>
      <c r="L456" s="3" t="s">
        <v>1791</v>
      </c>
      <c r="M456" s="4" t="s">
        <v>25</v>
      </c>
      <c r="N456" s="4" t="s">
        <v>26</v>
      </c>
    </row>
    <row r="457" spans="1:14" ht="36" x14ac:dyDescent="0.25">
      <c r="A457" s="2" t="s">
        <v>1792</v>
      </c>
      <c r="B457" s="3" t="s">
        <v>1793</v>
      </c>
      <c r="C457" s="2" t="s">
        <v>66</v>
      </c>
      <c r="D457" s="3"/>
      <c r="E457" s="3" t="s">
        <v>1700</v>
      </c>
      <c r="F457" s="3"/>
      <c r="G457" s="4" t="s">
        <v>68</v>
      </c>
      <c r="H457" s="4" t="s">
        <v>68</v>
      </c>
      <c r="I457" s="2" t="s">
        <v>1545</v>
      </c>
      <c r="J457" s="3" t="s">
        <v>1548</v>
      </c>
      <c r="K457" s="3" t="s">
        <v>138</v>
      </c>
      <c r="L457" s="3" t="s">
        <v>1794</v>
      </c>
      <c r="M457" s="4" t="s">
        <v>25</v>
      </c>
      <c r="N457" s="4" t="s">
        <v>26</v>
      </c>
    </row>
    <row r="458" spans="1:14" ht="36" x14ac:dyDescent="0.25">
      <c r="A458" s="2" t="s">
        <v>1795</v>
      </c>
      <c r="B458" s="3" t="s">
        <v>1796</v>
      </c>
      <c r="C458" s="2" t="s">
        <v>1637</v>
      </c>
      <c r="D458" s="3" t="s">
        <v>1638</v>
      </c>
      <c r="E458" s="3" t="s">
        <v>1700</v>
      </c>
      <c r="F458" s="3" t="s">
        <v>1451</v>
      </c>
      <c r="G458" s="4" t="s">
        <v>20</v>
      </c>
      <c r="H458" s="4" t="s">
        <v>20</v>
      </c>
      <c r="I458" s="2" t="s">
        <v>1677</v>
      </c>
      <c r="J458" s="3" t="s">
        <v>1797</v>
      </c>
      <c r="K458" s="3" t="s">
        <v>171</v>
      </c>
      <c r="L458" s="3" t="s">
        <v>1798</v>
      </c>
      <c r="M458" s="4" t="s">
        <v>34</v>
      </c>
      <c r="N458" s="4" t="s">
        <v>26</v>
      </c>
    </row>
    <row r="459" spans="1:14" ht="48" x14ac:dyDescent="0.25">
      <c r="A459" s="2" t="s">
        <v>1799</v>
      </c>
      <c r="B459" s="3" t="s">
        <v>1800</v>
      </c>
      <c r="C459" s="2" t="s">
        <v>1301</v>
      </c>
      <c r="D459" s="3" t="s">
        <v>1302</v>
      </c>
      <c r="E459" s="3" t="s">
        <v>1700</v>
      </c>
      <c r="F459" s="3" t="s">
        <v>499</v>
      </c>
      <c r="G459" s="4" t="s">
        <v>32</v>
      </c>
      <c r="H459" s="4" t="s">
        <v>20</v>
      </c>
      <c r="I459" s="2" t="s">
        <v>1626</v>
      </c>
      <c r="J459" s="3" t="s">
        <v>1627</v>
      </c>
      <c r="K459" s="3" t="s">
        <v>594</v>
      </c>
      <c r="L459" s="3" t="s">
        <v>1801</v>
      </c>
      <c r="M459" s="4" t="s">
        <v>25</v>
      </c>
      <c r="N459" s="4" t="s">
        <v>26</v>
      </c>
    </row>
    <row r="460" spans="1:14" ht="36" x14ac:dyDescent="0.25">
      <c r="A460" s="2" t="s">
        <v>1802</v>
      </c>
      <c r="B460" s="3" t="s">
        <v>1803</v>
      </c>
      <c r="C460" s="2" t="s">
        <v>66</v>
      </c>
      <c r="D460" s="3"/>
      <c r="E460" s="3" t="s">
        <v>1700</v>
      </c>
      <c r="F460" s="3"/>
      <c r="G460" s="4" t="s">
        <v>68</v>
      </c>
      <c r="H460" s="4" t="s">
        <v>68</v>
      </c>
      <c r="I460" s="2" t="s">
        <v>1452</v>
      </c>
      <c r="J460" s="3" t="s">
        <v>1453</v>
      </c>
      <c r="K460" s="3" t="s">
        <v>171</v>
      </c>
      <c r="L460" s="3" t="s">
        <v>1804</v>
      </c>
      <c r="M460" s="4" t="s">
        <v>25</v>
      </c>
      <c r="N460" s="4" t="s">
        <v>26</v>
      </c>
    </row>
    <row r="461" spans="1:14" ht="36" x14ac:dyDescent="0.25">
      <c r="A461" s="2" t="s">
        <v>1805</v>
      </c>
      <c r="B461" s="3" t="s">
        <v>1806</v>
      </c>
      <c r="C461" s="2" t="s">
        <v>66</v>
      </c>
      <c r="D461" s="3"/>
      <c r="E461" s="3" t="s">
        <v>1700</v>
      </c>
      <c r="F461" s="3"/>
      <c r="G461" s="4" t="s">
        <v>68</v>
      </c>
      <c r="H461" s="4" t="s">
        <v>68</v>
      </c>
      <c r="I461" s="2" t="s">
        <v>1626</v>
      </c>
      <c r="J461" s="3" t="s">
        <v>1627</v>
      </c>
      <c r="K461" s="3" t="s">
        <v>594</v>
      </c>
      <c r="L461" s="3" t="s">
        <v>1807</v>
      </c>
      <c r="M461" s="4" t="s">
        <v>25</v>
      </c>
      <c r="N461" s="4" t="s">
        <v>26</v>
      </c>
    </row>
    <row r="462" spans="1:14" ht="36" x14ac:dyDescent="0.25">
      <c r="A462" s="2" t="s">
        <v>1808</v>
      </c>
      <c r="B462" s="3" t="s">
        <v>1809</v>
      </c>
      <c r="C462" s="2" t="s">
        <v>66</v>
      </c>
      <c r="D462" s="3"/>
      <c r="E462" s="3" t="s">
        <v>1700</v>
      </c>
      <c r="F462" s="3"/>
      <c r="G462" s="4" t="s">
        <v>68</v>
      </c>
      <c r="H462" s="4" t="s">
        <v>68</v>
      </c>
      <c r="I462" s="2" t="s">
        <v>1626</v>
      </c>
      <c r="J462" s="3" t="s">
        <v>1627</v>
      </c>
      <c r="K462" s="3" t="s">
        <v>594</v>
      </c>
      <c r="L462" s="3" t="s">
        <v>1810</v>
      </c>
      <c r="M462" s="4" t="s">
        <v>25</v>
      </c>
      <c r="N462" s="4" t="s">
        <v>26</v>
      </c>
    </row>
    <row r="463" spans="1:14" ht="36" x14ac:dyDescent="0.25">
      <c r="A463" s="2" t="s">
        <v>1811</v>
      </c>
      <c r="B463" s="3" t="s">
        <v>1812</v>
      </c>
      <c r="C463" s="2" t="s">
        <v>1813</v>
      </c>
      <c r="D463" s="3" t="s">
        <v>1814</v>
      </c>
      <c r="E463" s="3" t="s">
        <v>1700</v>
      </c>
      <c r="F463" s="3" t="s">
        <v>499</v>
      </c>
      <c r="G463" s="4" t="s">
        <v>20</v>
      </c>
      <c r="H463" s="4" t="s">
        <v>20</v>
      </c>
      <c r="I463" s="2" t="s">
        <v>1626</v>
      </c>
      <c r="J463" s="3" t="s">
        <v>1627</v>
      </c>
      <c r="K463" s="3" t="s">
        <v>594</v>
      </c>
      <c r="L463" s="3" t="s">
        <v>1815</v>
      </c>
      <c r="M463" s="4" t="s">
        <v>34</v>
      </c>
      <c r="N463" s="4" t="s">
        <v>26</v>
      </c>
    </row>
    <row r="464" spans="1:14" ht="36" x14ac:dyDescent="0.25">
      <c r="A464" s="2" t="s">
        <v>1816</v>
      </c>
      <c r="B464" s="3" t="s">
        <v>1817</v>
      </c>
      <c r="C464" s="2" t="s">
        <v>66</v>
      </c>
      <c r="D464" s="3"/>
      <c r="E464" s="3" t="s">
        <v>1818</v>
      </c>
      <c r="F464" s="3"/>
      <c r="G464" s="4" t="s">
        <v>68</v>
      </c>
      <c r="H464" s="4" t="s">
        <v>68</v>
      </c>
      <c r="I464" s="2" t="s">
        <v>1653</v>
      </c>
      <c r="J464" s="3" t="s">
        <v>1654</v>
      </c>
      <c r="K464" s="3" t="s">
        <v>138</v>
      </c>
      <c r="L464" s="3" t="s">
        <v>1655</v>
      </c>
      <c r="M464" s="4" t="s">
        <v>34</v>
      </c>
      <c r="N464" s="4" t="s">
        <v>26</v>
      </c>
    </row>
    <row r="465" spans="1:14" ht="36" x14ac:dyDescent="0.25">
      <c r="A465" s="2" t="s">
        <v>1819</v>
      </c>
      <c r="B465" s="3" t="s">
        <v>1820</v>
      </c>
      <c r="C465" s="2" t="s">
        <v>66</v>
      </c>
      <c r="D465" s="3"/>
      <c r="E465" s="3" t="s">
        <v>1818</v>
      </c>
      <c r="F465" s="3"/>
      <c r="G465" s="4" t="s">
        <v>68</v>
      </c>
      <c r="H465" s="4" t="s">
        <v>68</v>
      </c>
      <c r="I465" s="2" t="s">
        <v>1653</v>
      </c>
      <c r="J465" s="3" t="s">
        <v>1654</v>
      </c>
      <c r="K465" s="3" t="s">
        <v>138</v>
      </c>
      <c r="L465" s="3" t="s">
        <v>1821</v>
      </c>
      <c r="M465" s="4" t="s">
        <v>25</v>
      </c>
      <c r="N465" s="4" t="s">
        <v>26</v>
      </c>
    </row>
    <row r="466" spans="1:14" ht="36" x14ac:dyDescent="0.25">
      <c r="A466" s="2" t="s">
        <v>1822</v>
      </c>
      <c r="B466" s="3" t="s">
        <v>1823</v>
      </c>
      <c r="C466" s="2" t="s">
        <v>1824</v>
      </c>
      <c r="D466" s="3" t="s">
        <v>1825</v>
      </c>
      <c r="E466" s="3" t="s">
        <v>1818</v>
      </c>
      <c r="F466" s="3" t="s">
        <v>138</v>
      </c>
      <c r="G466" s="4" t="s">
        <v>32</v>
      </c>
      <c r="H466" s="4" t="s">
        <v>32</v>
      </c>
      <c r="I466" s="2" t="s">
        <v>1824</v>
      </c>
      <c r="J466" s="3" t="s">
        <v>1826</v>
      </c>
      <c r="K466" s="3" t="s">
        <v>138</v>
      </c>
      <c r="L466" s="3" t="s">
        <v>1827</v>
      </c>
      <c r="M466" s="4" t="s">
        <v>34</v>
      </c>
      <c r="N466" s="4" t="s">
        <v>63</v>
      </c>
    </row>
    <row r="467" spans="1:14" ht="36" x14ac:dyDescent="0.25">
      <c r="A467" s="2" t="s">
        <v>1828</v>
      </c>
      <c r="B467" s="3" t="s">
        <v>1829</v>
      </c>
      <c r="C467" s="2" t="s">
        <v>1824</v>
      </c>
      <c r="D467" s="3" t="s">
        <v>1825</v>
      </c>
      <c r="E467" s="3" t="s">
        <v>1818</v>
      </c>
      <c r="F467" s="3" t="s">
        <v>138</v>
      </c>
      <c r="G467" s="4" t="s">
        <v>32</v>
      </c>
      <c r="H467" s="4" t="s">
        <v>32</v>
      </c>
      <c r="I467" s="2" t="s">
        <v>1824</v>
      </c>
      <c r="J467" s="3" t="s">
        <v>1826</v>
      </c>
      <c r="K467" s="3" t="s">
        <v>138</v>
      </c>
      <c r="L467" s="3" t="s">
        <v>1827</v>
      </c>
      <c r="M467" s="4" t="s">
        <v>34</v>
      </c>
      <c r="N467" s="4" t="s">
        <v>63</v>
      </c>
    </row>
    <row r="468" spans="1:14" ht="36" x14ac:dyDescent="0.25">
      <c r="A468" s="2" t="s">
        <v>1830</v>
      </c>
      <c r="B468" s="3" t="s">
        <v>1831</v>
      </c>
      <c r="C468" s="2" t="s">
        <v>66</v>
      </c>
      <c r="D468" s="3"/>
      <c r="E468" s="3" t="s">
        <v>1818</v>
      </c>
      <c r="F468" s="3"/>
      <c r="G468" s="4" t="s">
        <v>68</v>
      </c>
      <c r="H468" s="4" t="s">
        <v>68</v>
      </c>
      <c r="I468" s="2" t="s">
        <v>1824</v>
      </c>
      <c r="J468" s="3" t="s">
        <v>1826</v>
      </c>
      <c r="K468" s="3" t="s">
        <v>138</v>
      </c>
      <c r="L468" s="3" t="s">
        <v>1832</v>
      </c>
      <c r="M468" s="4" t="s">
        <v>25</v>
      </c>
      <c r="N468" s="4" t="s">
        <v>26</v>
      </c>
    </row>
    <row r="469" spans="1:14" ht="36" x14ac:dyDescent="0.25">
      <c r="A469" s="2" t="s">
        <v>1833</v>
      </c>
      <c r="B469" s="3" t="s">
        <v>1834</v>
      </c>
      <c r="C469" s="2" t="s">
        <v>1004</v>
      </c>
      <c r="D469" s="3" t="s">
        <v>1005</v>
      </c>
      <c r="E469" s="3" t="s">
        <v>1835</v>
      </c>
      <c r="F469" s="3" t="s">
        <v>499</v>
      </c>
      <c r="G469" s="4" t="s">
        <v>20</v>
      </c>
      <c r="H469" s="4" t="s">
        <v>20</v>
      </c>
      <c r="I469" s="2" t="s">
        <v>1836</v>
      </c>
      <c r="J469" s="3" t="s">
        <v>1837</v>
      </c>
      <c r="K469" s="3" t="s">
        <v>1838</v>
      </c>
      <c r="L469" s="3" t="s">
        <v>1839</v>
      </c>
      <c r="M469" s="4" t="s">
        <v>25</v>
      </c>
      <c r="N469" s="4" t="s">
        <v>26</v>
      </c>
    </row>
    <row r="470" spans="1:14" ht="36" x14ac:dyDescent="0.25">
      <c r="A470" s="2" t="s">
        <v>1840</v>
      </c>
      <c r="B470" s="3" t="s">
        <v>1841</v>
      </c>
      <c r="C470" s="2" t="s">
        <v>66</v>
      </c>
      <c r="D470" s="3"/>
      <c r="E470" s="3" t="s">
        <v>1842</v>
      </c>
      <c r="F470" s="3"/>
      <c r="G470" s="4" t="s">
        <v>68</v>
      </c>
      <c r="H470" s="4" t="s">
        <v>68</v>
      </c>
      <c r="I470" s="2"/>
      <c r="J470" s="3"/>
      <c r="K470" s="3"/>
      <c r="L470" s="3" t="s">
        <v>1843</v>
      </c>
      <c r="M470" s="4" t="s">
        <v>34</v>
      </c>
      <c r="N470" s="4" t="s">
        <v>35</v>
      </c>
    </row>
    <row r="471" spans="1:14" ht="60" x14ac:dyDescent="0.25">
      <c r="A471" s="2" t="s">
        <v>1844</v>
      </c>
      <c r="B471" s="3" t="s">
        <v>1845</v>
      </c>
      <c r="C471" s="2" t="s">
        <v>1004</v>
      </c>
      <c r="D471" s="3" t="s">
        <v>1005</v>
      </c>
      <c r="E471" s="3" t="s">
        <v>1846</v>
      </c>
      <c r="F471" s="3" t="s">
        <v>499</v>
      </c>
      <c r="G471" s="4" t="s">
        <v>20</v>
      </c>
      <c r="H471" s="4" t="s">
        <v>20</v>
      </c>
      <c r="I471" s="2"/>
      <c r="J471" s="3"/>
      <c r="K471" s="3"/>
      <c r="L471" s="3" t="s">
        <v>1847</v>
      </c>
      <c r="M471" s="4" t="s">
        <v>25</v>
      </c>
      <c r="N471" s="4" t="s">
        <v>35</v>
      </c>
    </row>
    <row r="472" spans="1:14" ht="60" x14ac:dyDescent="0.25">
      <c r="A472" s="2" t="s">
        <v>1848</v>
      </c>
      <c r="B472" s="3" t="s">
        <v>1849</v>
      </c>
      <c r="C472" s="2" t="s">
        <v>1004</v>
      </c>
      <c r="D472" s="3" t="s">
        <v>1005</v>
      </c>
      <c r="E472" s="3" t="s">
        <v>1846</v>
      </c>
      <c r="F472" s="3" t="s">
        <v>499</v>
      </c>
      <c r="G472" s="4" t="s">
        <v>20</v>
      </c>
      <c r="H472" s="4" t="s">
        <v>20</v>
      </c>
      <c r="I472" s="2"/>
      <c r="J472" s="3"/>
      <c r="K472" s="3"/>
      <c r="L472" s="3" t="s">
        <v>1847</v>
      </c>
      <c r="M472" s="4" t="s">
        <v>25</v>
      </c>
      <c r="N472" s="4" t="s">
        <v>35</v>
      </c>
    </row>
    <row r="473" spans="1:14" ht="24" x14ac:dyDescent="0.25">
      <c r="A473" s="2" t="s">
        <v>1850</v>
      </c>
      <c r="B473" s="3" t="s">
        <v>780</v>
      </c>
      <c r="C473" s="2" t="s">
        <v>779</v>
      </c>
      <c r="D473" s="3" t="s">
        <v>780</v>
      </c>
      <c r="E473" s="3" t="s">
        <v>1851</v>
      </c>
      <c r="F473" s="3" t="s">
        <v>781</v>
      </c>
      <c r="G473" s="4" t="s">
        <v>32</v>
      </c>
      <c r="H473" s="4" t="s">
        <v>32</v>
      </c>
      <c r="I473" s="2" t="s">
        <v>779</v>
      </c>
      <c r="J473" s="3" t="s">
        <v>1852</v>
      </c>
      <c r="K473" s="3" t="s">
        <v>781</v>
      </c>
      <c r="L473" s="3" t="s">
        <v>1853</v>
      </c>
      <c r="M473" s="4" t="s">
        <v>34</v>
      </c>
      <c r="N473" s="4" t="s">
        <v>63</v>
      </c>
    </row>
    <row r="474" spans="1:14" ht="24" x14ac:dyDescent="0.25">
      <c r="A474" s="2" t="s">
        <v>1854</v>
      </c>
      <c r="B474" s="3" t="s">
        <v>1855</v>
      </c>
      <c r="C474" s="2" t="s">
        <v>779</v>
      </c>
      <c r="D474" s="3" t="s">
        <v>780</v>
      </c>
      <c r="E474" s="3" t="s">
        <v>1851</v>
      </c>
      <c r="F474" s="3" t="s">
        <v>781</v>
      </c>
      <c r="G474" s="4" t="s">
        <v>32</v>
      </c>
      <c r="H474" s="4" t="s">
        <v>32</v>
      </c>
      <c r="I474" s="2" t="s">
        <v>779</v>
      </c>
      <c r="J474" s="3" t="s">
        <v>1852</v>
      </c>
      <c r="K474" s="3" t="s">
        <v>781</v>
      </c>
      <c r="L474" s="3" t="s">
        <v>1856</v>
      </c>
      <c r="M474" s="4" t="s">
        <v>25</v>
      </c>
      <c r="N474" s="4" t="s">
        <v>63</v>
      </c>
    </row>
    <row r="475" spans="1:14" ht="24" x14ac:dyDescent="0.25">
      <c r="A475" s="2" t="s">
        <v>1857</v>
      </c>
      <c r="B475" s="3" t="s">
        <v>1858</v>
      </c>
      <c r="C475" s="2" t="s">
        <v>416</v>
      </c>
      <c r="D475" s="3" t="s">
        <v>1859</v>
      </c>
      <c r="E475" s="3" t="s">
        <v>1851</v>
      </c>
      <c r="F475" s="3" t="s">
        <v>41</v>
      </c>
      <c r="G475" s="4" t="s">
        <v>20</v>
      </c>
      <c r="H475" s="4" t="s">
        <v>20</v>
      </c>
      <c r="I475" s="2" t="s">
        <v>779</v>
      </c>
      <c r="J475" s="3" t="s">
        <v>1852</v>
      </c>
      <c r="K475" s="3" t="s">
        <v>781</v>
      </c>
      <c r="L475" s="3" t="s">
        <v>1860</v>
      </c>
      <c r="M475" s="4" t="s">
        <v>34</v>
      </c>
      <c r="N475" s="4" t="s">
        <v>26</v>
      </c>
    </row>
    <row r="476" spans="1:14" ht="24" x14ac:dyDescent="0.25">
      <c r="A476" s="2" t="s">
        <v>1861</v>
      </c>
      <c r="B476" s="3" t="s">
        <v>1862</v>
      </c>
      <c r="C476" s="2" t="s">
        <v>1863</v>
      </c>
      <c r="D476" s="3" t="s">
        <v>1864</v>
      </c>
      <c r="E476" s="3" t="s">
        <v>1851</v>
      </c>
      <c r="F476" s="3" t="s">
        <v>499</v>
      </c>
      <c r="G476" s="4" t="s">
        <v>20</v>
      </c>
      <c r="H476" s="4" t="s">
        <v>20</v>
      </c>
      <c r="I476" s="2" t="s">
        <v>1865</v>
      </c>
      <c r="J476" s="3" t="s">
        <v>1866</v>
      </c>
      <c r="K476" s="3" t="s">
        <v>781</v>
      </c>
      <c r="L476" s="3" t="s">
        <v>1867</v>
      </c>
      <c r="M476" s="4" t="s">
        <v>34</v>
      </c>
      <c r="N476" s="4" t="s">
        <v>26</v>
      </c>
    </row>
    <row r="477" spans="1:14" ht="24" x14ac:dyDescent="0.25">
      <c r="A477" s="2" t="s">
        <v>1868</v>
      </c>
      <c r="B477" s="3" t="s">
        <v>1869</v>
      </c>
      <c r="C477" s="2" t="s">
        <v>779</v>
      </c>
      <c r="D477" s="3" t="s">
        <v>780</v>
      </c>
      <c r="E477" s="3" t="s">
        <v>1851</v>
      </c>
      <c r="F477" s="3" t="s">
        <v>781</v>
      </c>
      <c r="G477" s="4" t="s">
        <v>32</v>
      </c>
      <c r="H477" s="4" t="s">
        <v>32</v>
      </c>
      <c r="I477" s="2" t="s">
        <v>779</v>
      </c>
      <c r="J477" s="3" t="s">
        <v>1852</v>
      </c>
      <c r="K477" s="3" t="s">
        <v>781</v>
      </c>
      <c r="L477" s="3" t="s">
        <v>1870</v>
      </c>
      <c r="M477" s="4" t="s">
        <v>25</v>
      </c>
      <c r="N477" s="4" t="s">
        <v>63</v>
      </c>
    </row>
    <row r="478" spans="1:14" ht="24" x14ac:dyDescent="0.25">
      <c r="A478" s="2" t="s">
        <v>1871</v>
      </c>
      <c r="B478" s="3" t="s">
        <v>1872</v>
      </c>
      <c r="C478" s="2" t="s">
        <v>1004</v>
      </c>
      <c r="D478" s="3" t="s">
        <v>1005</v>
      </c>
      <c r="E478" s="3" t="s">
        <v>1873</v>
      </c>
      <c r="F478" s="3" t="s">
        <v>499</v>
      </c>
      <c r="G478" s="4" t="s">
        <v>20</v>
      </c>
      <c r="H478" s="4" t="s">
        <v>20</v>
      </c>
      <c r="I478" s="2" t="s">
        <v>779</v>
      </c>
      <c r="J478" s="3" t="s">
        <v>1852</v>
      </c>
      <c r="K478" s="3" t="s">
        <v>781</v>
      </c>
      <c r="L478" s="3" t="s">
        <v>1874</v>
      </c>
      <c r="M478" s="4" t="s">
        <v>25</v>
      </c>
      <c r="N478" s="4" t="s">
        <v>26</v>
      </c>
    </row>
    <row r="479" spans="1:14" ht="36" x14ac:dyDescent="0.25">
      <c r="A479" s="2" t="s">
        <v>1875</v>
      </c>
      <c r="B479" s="3" t="s">
        <v>1876</v>
      </c>
      <c r="C479" s="2" t="s">
        <v>1004</v>
      </c>
      <c r="D479" s="3" t="s">
        <v>1005</v>
      </c>
      <c r="E479" s="3" t="s">
        <v>1877</v>
      </c>
      <c r="F479" s="3" t="s">
        <v>499</v>
      </c>
      <c r="G479" s="4" t="s">
        <v>20</v>
      </c>
      <c r="H479" s="4" t="s">
        <v>20</v>
      </c>
      <c r="I479" s="2" t="s">
        <v>779</v>
      </c>
      <c r="J479" s="3" t="s">
        <v>1852</v>
      </c>
      <c r="K479" s="3" t="s">
        <v>781</v>
      </c>
      <c r="L479" s="3" t="s">
        <v>1878</v>
      </c>
      <c r="M479" s="4" t="s">
        <v>25</v>
      </c>
      <c r="N479" s="4" t="s">
        <v>26</v>
      </c>
    </row>
    <row r="480" spans="1:14" ht="36" x14ac:dyDescent="0.25">
      <c r="A480" s="2" t="s">
        <v>1879</v>
      </c>
      <c r="B480" s="3" t="s">
        <v>1880</v>
      </c>
      <c r="C480" s="2" t="s">
        <v>1881</v>
      </c>
      <c r="D480" s="3" t="s">
        <v>1882</v>
      </c>
      <c r="E480" s="3" t="s">
        <v>1883</v>
      </c>
      <c r="F480" s="3" t="s">
        <v>1424</v>
      </c>
      <c r="G480" s="4" t="s">
        <v>20</v>
      </c>
      <c r="H480" s="4" t="s">
        <v>20</v>
      </c>
      <c r="I480" s="2"/>
      <c r="J480" s="3"/>
      <c r="K480" s="3"/>
      <c r="L480" s="3" t="s">
        <v>1884</v>
      </c>
      <c r="M480" s="4" t="s">
        <v>34</v>
      </c>
      <c r="N480" s="4" t="s">
        <v>35</v>
      </c>
    </row>
    <row r="481" spans="1:14" ht="24" x14ac:dyDescent="0.25">
      <c r="A481" s="2" t="s">
        <v>1885</v>
      </c>
      <c r="B481" s="3" t="s">
        <v>1886</v>
      </c>
      <c r="C481" s="2" t="s">
        <v>66</v>
      </c>
      <c r="D481" s="3"/>
      <c r="E481" s="3" t="s">
        <v>1887</v>
      </c>
      <c r="F481" s="3"/>
      <c r="G481" s="4" t="s">
        <v>68</v>
      </c>
      <c r="H481" s="4" t="s">
        <v>68</v>
      </c>
      <c r="I481" s="2" t="s">
        <v>1888</v>
      </c>
      <c r="J481" s="3" t="s">
        <v>1889</v>
      </c>
      <c r="K481" s="3" t="s">
        <v>1890</v>
      </c>
      <c r="L481" s="3" t="s">
        <v>1891</v>
      </c>
      <c r="M481" s="4" t="s">
        <v>34</v>
      </c>
      <c r="N481" s="4" t="s">
        <v>26</v>
      </c>
    </row>
    <row r="482" spans="1:14" ht="24" x14ac:dyDescent="0.25">
      <c r="A482" s="2" t="s">
        <v>1892</v>
      </c>
      <c r="B482" s="3" t="s">
        <v>1893</v>
      </c>
      <c r="C482" s="2" t="s">
        <v>66</v>
      </c>
      <c r="D482" s="3"/>
      <c r="E482" s="3" t="s">
        <v>1887</v>
      </c>
      <c r="F482" s="3"/>
      <c r="G482" s="4" t="s">
        <v>68</v>
      </c>
      <c r="H482" s="4" t="s">
        <v>68</v>
      </c>
      <c r="I482" s="2" t="s">
        <v>1888</v>
      </c>
      <c r="J482" s="3" t="s">
        <v>1889</v>
      </c>
      <c r="K482" s="3" t="s">
        <v>1890</v>
      </c>
      <c r="L482" s="3" t="s">
        <v>1891</v>
      </c>
      <c r="M482" s="4" t="s">
        <v>34</v>
      </c>
      <c r="N482" s="4" t="s">
        <v>26</v>
      </c>
    </row>
    <row r="483" spans="1:14" ht="24" x14ac:dyDescent="0.25">
      <c r="A483" s="2" t="s">
        <v>1894</v>
      </c>
      <c r="B483" s="3" t="s">
        <v>1895</v>
      </c>
      <c r="C483" s="2" t="s">
        <v>66</v>
      </c>
      <c r="D483" s="3"/>
      <c r="E483" s="3" t="s">
        <v>1887</v>
      </c>
      <c r="F483" s="3"/>
      <c r="G483" s="4" t="s">
        <v>68</v>
      </c>
      <c r="H483" s="4" t="s">
        <v>68</v>
      </c>
      <c r="I483" s="2" t="s">
        <v>1888</v>
      </c>
      <c r="J483" s="3" t="s">
        <v>1889</v>
      </c>
      <c r="K483" s="3" t="s">
        <v>1890</v>
      </c>
      <c r="L483" s="3" t="s">
        <v>1891</v>
      </c>
      <c r="M483" s="4" t="s">
        <v>34</v>
      </c>
      <c r="N483" s="4" t="s">
        <v>26</v>
      </c>
    </row>
    <row r="484" spans="1:14" ht="24" x14ac:dyDescent="0.25">
      <c r="A484" s="2" t="s">
        <v>1896</v>
      </c>
      <c r="B484" s="3" t="s">
        <v>1897</v>
      </c>
      <c r="C484" s="2" t="s">
        <v>66</v>
      </c>
      <c r="D484" s="3"/>
      <c r="E484" s="3" t="s">
        <v>1898</v>
      </c>
      <c r="F484" s="3"/>
      <c r="G484" s="4" t="s">
        <v>68</v>
      </c>
      <c r="H484" s="4" t="s">
        <v>68</v>
      </c>
      <c r="I484" s="2" t="s">
        <v>1888</v>
      </c>
      <c r="J484" s="3" t="s">
        <v>1889</v>
      </c>
      <c r="K484" s="3" t="s">
        <v>1890</v>
      </c>
      <c r="L484" s="3" t="s">
        <v>1899</v>
      </c>
      <c r="M484" s="4" t="s">
        <v>25</v>
      </c>
      <c r="N484" s="4" t="s">
        <v>26</v>
      </c>
    </row>
    <row r="485" spans="1:14" ht="48" x14ac:dyDescent="0.25">
      <c r="A485" s="2" t="s">
        <v>1900</v>
      </c>
      <c r="B485" s="3" t="s">
        <v>1901</v>
      </c>
      <c r="C485" s="2" t="s">
        <v>66</v>
      </c>
      <c r="D485" s="3"/>
      <c r="E485" s="3" t="s">
        <v>1898</v>
      </c>
      <c r="F485" s="3"/>
      <c r="G485" s="4" t="s">
        <v>68</v>
      </c>
      <c r="H485" s="4" t="s">
        <v>68</v>
      </c>
      <c r="I485" s="2" t="s">
        <v>1888</v>
      </c>
      <c r="J485" s="3" t="s">
        <v>1889</v>
      </c>
      <c r="K485" s="3" t="s">
        <v>1890</v>
      </c>
      <c r="L485" s="3" t="s">
        <v>1902</v>
      </c>
      <c r="M485" s="4" t="s">
        <v>25</v>
      </c>
      <c r="N485" s="4" t="s">
        <v>26</v>
      </c>
    </row>
    <row r="486" spans="1:14" ht="24" x14ac:dyDescent="0.25">
      <c r="A486" s="2" t="s">
        <v>1903</v>
      </c>
      <c r="B486" s="3" t="s">
        <v>1904</v>
      </c>
      <c r="C486" s="2" t="s">
        <v>66</v>
      </c>
      <c r="D486" s="3"/>
      <c r="E486" s="3" t="s">
        <v>1905</v>
      </c>
      <c r="F486" s="3"/>
      <c r="G486" s="4" t="s">
        <v>68</v>
      </c>
      <c r="H486" s="4" t="s">
        <v>68</v>
      </c>
      <c r="I486" s="2" t="s">
        <v>1888</v>
      </c>
      <c r="J486" s="3" t="s">
        <v>1889</v>
      </c>
      <c r="K486" s="3" t="s">
        <v>1890</v>
      </c>
      <c r="L486" s="3" t="s">
        <v>1899</v>
      </c>
      <c r="M486" s="4" t="s">
        <v>25</v>
      </c>
      <c r="N486" s="4" t="s">
        <v>26</v>
      </c>
    </row>
    <row r="487" spans="1:14" ht="24" x14ac:dyDescent="0.25">
      <c r="A487" s="2" t="s">
        <v>1906</v>
      </c>
      <c r="B487" s="3" t="s">
        <v>1907</v>
      </c>
      <c r="C487" s="2" t="s">
        <v>66</v>
      </c>
      <c r="D487" s="3"/>
      <c r="E487" s="3" t="s">
        <v>1905</v>
      </c>
      <c r="F487" s="3"/>
      <c r="G487" s="4" t="s">
        <v>68</v>
      </c>
      <c r="H487" s="4" t="s">
        <v>68</v>
      </c>
      <c r="I487" s="2" t="s">
        <v>1888</v>
      </c>
      <c r="J487" s="3" t="s">
        <v>1889</v>
      </c>
      <c r="K487" s="3" t="s">
        <v>1890</v>
      </c>
      <c r="L487" s="3" t="s">
        <v>1891</v>
      </c>
      <c r="M487" s="4" t="s">
        <v>34</v>
      </c>
      <c r="N487" s="4" t="s">
        <v>26</v>
      </c>
    </row>
    <row r="488" spans="1:14" ht="36" x14ac:dyDescent="0.25">
      <c r="A488" s="2" t="s">
        <v>1908</v>
      </c>
      <c r="B488" s="3" t="s">
        <v>1909</v>
      </c>
      <c r="C488" s="2" t="s">
        <v>1910</v>
      </c>
      <c r="D488" s="3" t="s">
        <v>1911</v>
      </c>
      <c r="E488" s="3" t="s">
        <v>1905</v>
      </c>
      <c r="F488" s="3" t="s">
        <v>1890</v>
      </c>
      <c r="G488" s="4" t="s">
        <v>32</v>
      </c>
      <c r="H488" s="4" t="s">
        <v>32</v>
      </c>
      <c r="I488" s="2" t="s">
        <v>1910</v>
      </c>
      <c r="J488" s="3" t="s">
        <v>1912</v>
      </c>
      <c r="K488" s="3" t="s">
        <v>1890</v>
      </c>
      <c r="L488" s="3" t="s">
        <v>1913</v>
      </c>
      <c r="M488" s="4" t="s">
        <v>34</v>
      </c>
      <c r="N488" s="4" t="s">
        <v>63</v>
      </c>
    </row>
    <row r="489" spans="1:14" ht="24" x14ac:dyDescent="0.25">
      <c r="A489" s="2" t="s">
        <v>1914</v>
      </c>
      <c r="B489" s="3" t="s">
        <v>1915</v>
      </c>
      <c r="C489" s="2" t="s">
        <v>66</v>
      </c>
      <c r="D489" s="3"/>
      <c r="E489" s="3" t="s">
        <v>1905</v>
      </c>
      <c r="F489" s="3"/>
      <c r="G489" s="4" t="s">
        <v>68</v>
      </c>
      <c r="H489" s="4" t="s">
        <v>68</v>
      </c>
      <c r="I489" s="2" t="s">
        <v>1888</v>
      </c>
      <c r="J489" s="3" t="s">
        <v>1889</v>
      </c>
      <c r="K489" s="3" t="s">
        <v>1890</v>
      </c>
      <c r="L489" s="3" t="s">
        <v>1899</v>
      </c>
      <c r="M489" s="4" t="s">
        <v>25</v>
      </c>
      <c r="N489" s="4" t="s">
        <v>26</v>
      </c>
    </row>
    <row r="490" spans="1:14" ht="24" x14ac:dyDescent="0.25">
      <c r="A490" s="2" t="s">
        <v>1916</v>
      </c>
      <c r="B490" s="3" t="s">
        <v>1917</v>
      </c>
      <c r="C490" s="2" t="s">
        <v>505</v>
      </c>
      <c r="D490" s="3" t="s">
        <v>506</v>
      </c>
      <c r="E490" s="3" t="s">
        <v>1905</v>
      </c>
      <c r="F490" s="3" t="s">
        <v>499</v>
      </c>
      <c r="G490" s="4" t="s">
        <v>20</v>
      </c>
      <c r="H490" s="4" t="s">
        <v>20</v>
      </c>
      <c r="I490" s="2" t="s">
        <v>1888</v>
      </c>
      <c r="J490" s="3" t="s">
        <v>1889</v>
      </c>
      <c r="K490" s="3" t="s">
        <v>1890</v>
      </c>
      <c r="L490" s="3" t="s">
        <v>1918</v>
      </c>
      <c r="M490" s="4" t="s">
        <v>34</v>
      </c>
      <c r="N490" s="4" t="s">
        <v>26</v>
      </c>
    </row>
    <row r="491" spans="1:14" ht="48" x14ac:dyDescent="0.25">
      <c r="A491" s="2" t="s">
        <v>1919</v>
      </c>
      <c r="B491" s="3" t="s">
        <v>1920</v>
      </c>
      <c r="C491" s="2" t="s">
        <v>1888</v>
      </c>
      <c r="D491" s="3" t="s">
        <v>1921</v>
      </c>
      <c r="E491" s="3" t="s">
        <v>1905</v>
      </c>
      <c r="F491" s="3" t="s">
        <v>1890</v>
      </c>
      <c r="G491" s="4" t="s">
        <v>20</v>
      </c>
      <c r="H491" s="4" t="s">
        <v>32</v>
      </c>
      <c r="I491" s="2"/>
      <c r="J491" s="3"/>
      <c r="K491" s="3"/>
      <c r="L491" s="3" t="s">
        <v>1922</v>
      </c>
      <c r="M491" s="4" t="s">
        <v>25</v>
      </c>
      <c r="N491" s="4" t="s">
        <v>35</v>
      </c>
    </row>
    <row r="492" spans="1:14" ht="36" x14ac:dyDescent="0.25">
      <c r="A492" s="2" t="s">
        <v>1923</v>
      </c>
      <c r="B492" s="3" t="s">
        <v>1924</v>
      </c>
      <c r="C492" s="2" t="s">
        <v>168</v>
      </c>
      <c r="D492" s="3" t="s">
        <v>169</v>
      </c>
      <c r="E492" s="3" t="s">
        <v>1905</v>
      </c>
      <c r="F492" s="3" t="s">
        <v>171</v>
      </c>
      <c r="G492" s="4" t="s">
        <v>32</v>
      </c>
      <c r="H492" s="4" t="s">
        <v>20</v>
      </c>
      <c r="I492" s="2" t="s">
        <v>1888</v>
      </c>
      <c r="J492" s="3" t="s">
        <v>1889</v>
      </c>
      <c r="K492" s="3" t="s">
        <v>1890</v>
      </c>
      <c r="L492" s="3" t="s">
        <v>1925</v>
      </c>
      <c r="M492" s="4" t="s">
        <v>25</v>
      </c>
      <c r="N492" s="4" t="s">
        <v>26</v>
      </c>
    </row>
    <row r="493" spans="1:14" ht="48" x14ac:dyDescent="0.25">
      <c r="A493" s="2" t="s">
        <v>1926</v>
      </c>
      <c r="B493" s="3" t="s">
        <v>1927</v>
      </c>
      <c r="C493" s="2" t="s">
        <v>1928</v>
      </c>
      <c r="D493" s="3" t="s">
        <v>1929</v>
      </c>
      <c r="E493" s="3" t="s">
        <v>1930</v>
      </c>
      <c r="F493" s="3" t="s">
        <v>499</v>
      </c>
      <c r="G493" s="4" t="s">
        <v>32</v>
      </c>
      <c r="H493" s="4" t="s">
        <v>20</v>
      </c>
      <c r="I493" s="2" t="s">
        <v>1888</v>
      </c>
      <c r="J493" s="3" t="s">
        <v>1889</v>
      </c>
      <c r="K493" s="3" t="s">
        <v>1890</v>
      </c>
      <c r="L493" s="3" t="s">
        <v>1931</v>
      </c>
      <c r="M493" s="4" t="s">
        <v>25</v>
      </c>
      <c r="N493" s="4" t="s">
        <v>26</v>
      </c>
    </row>
    <row r="494" spans="1:14" ht="48" x14ac:dyDescent="0.25">
      <c r="A494" s="2" t="s">
        <v>1932</v>
      </c>
      <c r="B494" s="3" t="s">
        <v>1933</v>
      </c>
      <c r="C494" s="2" t="s">
        <v>1928</v>
      </c>
      <c r="D494" s="3" t="s">
        <v>1929</v>
      </c>
      <c r="E494" s="3" t="s">
        <v>1934</v>
      </c>
      <c r="F494" s="3" t="s">
        <v>499</v>
      </c>
      <c r="G494" s="4" t="s">
        <v>32</v>
      </c>
      <c r="H494" s="4" t="s">
        <v>20</v>
      </c>
      <c r="I494" s="2" t="s">
        <v>1888</v>
      </c>
      <c r="J494" s="3" t="s">
        <v>1889</v>
      </c>
      <c r="K494" s="3" t="s">
        <v>1890</v>
      </c>
      <c r="L494" s="3" t="s">
        <v>1931</v>
      </c>
      <c r="M494" s="4" t="s">
        <v>25</v>
      </c>
      <c r="N494" s="4" t="s">
        <v>26</v>
      </c>
    </row>
    <row r="495" spans="1:14" ht="48" x14ac:dyDescent="0.25">
      <c r="A495" s="2" t="s">
        <v>1935</v>
      </c>
      <c r="B495" s="3" t="s">
        <v>1936</v>
      </c>
      <c r="C495" s="2" t="s">
        <v>1928</v>
      </c>
      <c r="D495" s="3" t="s">
        <v>1929</v>
      </c>
      <c r="E495" s="3" t="s">
        <v>1934</v>
      </c>
      <c r="F495" s="3" t="s">
        <v>499</v>
      </c>
      <c r="G495" s="4" t="s">
        <v>32</v>
      </c>
      <c r="H495" s="4" t="s">
        <v>20</v>
      </c>
      <c r="I495" s="2" t="s">
        <v>1888</v>
      </c>
      <c r="J495" s="3" t="s">
        <v>1889</v>
      </c>
      <c r="K495" s="3" t="s">
        <v>1890</v>
      </c>
      <c r="L495" s="3" t="s">
        <v>1931</v>
      </c>
      <c r="M495" s="4" t="s">
        <v>25</v>
      </c>
      <c r="N495" s="4" t="s">
        <v>26</v>
      </c>
    </row>
    <row r="496" spans="1:14" ht="36" x14ac:dyDescent="0.25">
      <c r="A496" s="2" t="s">
        <v>1937</v>
      </c>
      <c r="B496" s="3" t="s">
        <v>1938</v>
      </c>
      <c r="C496" s="2" t="s">
        <v>1939</v>
      </c>
      <c r="D496" s="3" t="s">
        <v>1940</v>
      </c>
      <c r="E496" s="3" t="s">
        <v>1941</v>
      </c>
      <c r="F496" s="3" t="s">
        <v>1478</v>
      </c>
      <c r="G496" s="4" t="s">
        <v>20</v>
      </c>
      <c r="H496" s="4" t="s">
        <v>20</v>
      </c>
      <c r="I496" s="2" t="s">
        <v>1888</v>
      </c>
      <c r="J496" s="3" t="s">
        <v>1889</v>
      </c>
      <c r="K496" s="3" t="s">
        <v>1890</v>
      </c>
      <c r="L496" s="3" t="s">
        <v>1942</v>
      </c>
      <c r="M496" s="4" t="s">
        <v>25</v>
      </c>
      <c r="N496" s="4" t="s">
        <v>26</v>
      </c>
    </row>
    <row r="497" spans="1:14" ht="36" x14ac:dyDescent="0.25">
      <c r="A497" s="2" t="s">
        <v>1943</v>
      </c>
      <c r="B497" s="3" t="s">
        <v>1944</v>
      </c>
      <c r="C497" s="2" t="s">
        <v>1939</v>
      </c>
      <c r="D497" s="3" t="s">
        <v>1940</v>
      </c>
      <c r="E497" s="3" t="s">
        <v>1941</v>
      </c>
      <c r="F497" s="3" t="s">
        <v>1478</v>
      </c>
      <c r="G497" s="4" t="s">
        <v>20</v>
      </c>
      <c r="H497" s="4" t="s">
        <v>20</v>
      </c>
      <c r="I497" s="2" t="s">
        <v>1888</v>
      </c>
      <c r="J497" s="3" t="s">
        <v>1889</v>
      </c>
      <c r="K497" s="3" t="s">
        <v>1890</v>
      </c>
      <c r="L497" s="3" t="s">
        <v>1942</v>
      </c>
      <c r="M497" s="4" t="s">
        <v>25</v>
      </c>
      <c r="N497" s="4" t="s">
        <v>26</v>
      </c>
    </row>
    <row r="498" spans="1:14" ht="24" x14ac:dyDescent="0.25">
      <c r="A498" s="2" t="s">
        <v>1945</v>
      </c>
      <c r="B498" s="3" t="s">
        <v>1946</v>
      </c>
      <c r="C498" s="2" t="s">
        <v>1947</v>
      </c>
      <c r="D498" s="3" t="s">
        <v>1948</v>
      </c>
      <c r="E498" s="3" t="s">
        <v>1949</v>
      </c>
      <c r="F498" s="3" t="s">
        <v>1696</v>
      </c>
      <c r="G498" s="4" t="s">
        <v>32</v>
      </c>
      <c r="H498" s="4" t="s">
        <v>32</v>
      </c>
      <c r="I498" s="2" t="s">
        <v>1947</v>
      </c>
      <c r="J498" s="3" t="s">
        <v>1950</v>
      </c>
      <c r="K498" s="3" t="s">
        <v>1696</v>
      </c>
      <c r="L498" s="3" t="s">
        <v>1951</v>
      </c>
      <c r="M498" s="4" t="s">
        <v>34</v>
      </c>
      <c r="N498" s="4" t="s">
        <v>63</v>
      </c>
    </row>
    <row r="499" spans="1:14" ht="24" x14ac:dyDescent="0.25">
      <c r="A499" s="2" t="s">
        <v>1952</v>
      </c>
      <c r="B499" s="3" t="s">
        <v>1953</v>
      </c>
      <c r="C499" s="2" t="s">
        <v>1947</v>
      </c>
      <c r="D499" s="3" t="s">
        <v>1948</v>
      </c>
      <c r="E499" s="3" t="s">
        <v>1949</v>
      </c>
      <c r="F499" s="3" t="s">
        <v>1696</v>
      </c>
      <c r="G499" s="4" t="s">
        <v>32</v>
      </c>
      <c r="H499" s="4" t="s">
        <v>32</v>
      </c>
      <c r="I499" s="2" t="s">
        <v>1947</v>
      </c>
      <c r="J499" s="3" t="s">
        <v>1950</v>
      </c>
      <c r="K499" s="3" t="s">
        <v>1696</v>
      </c>
      <c r="L499" s="3" t="s">
        <v>1954</v>
      </c>
      <c r="M499" s="4" t="s">
        <v>25</v>
      </c>
      <c r="N499" s="4" t="s">
        <v>63</v>
      </c>
    </row>
    <row r="500" spans="1:14" ht="24" x14ac:dyDescent="0.25">
      <c r="A500" s="2" t="s">
        <v>1955</v>
      </c>
      <c r="B500" s="3" t="s">
        <v>1956</v>
      </c>
      <c r="C500" s="2" t="s">
        <v>1957</v>
      </c>
      <c r="D500" s="3" t="s">
        <v>1958</v>
      </c>
      <c r="E500" s="3" t="s">
        <v>1949</v>
      </c>
      <c r="F500" s="3" t="s">
        <v>1696</v>
      </c>
      <c r="G500" s="4" t="s">
        <v>32</v>
      </c>
      <c r="H500" s="4" t="s">
        <v>32</v>
      </c>
      <c r="I500" s="2" t="s">
        <v>1957</v>
      </c>
      <c r="J500" s="3" t="s">
        <v>1959</v>
      </c>
      <c r="K500" s="3" t="s">
        <v>1696</v>
      </c>
      <c r="L500" s="3" t="s">
        <v>1951</v>
      </c>
      <c r="M500" s="4" t="s">
        <v>34</v>
      </c>
      <c r="N500" s="4" t="s">
        <v>63</v>
      </c>
    </row>
    <row r="501" spans="1:14" ht="24" x14ac:dyDescent="0.25">
      <c r="A501" s="2" t="s">
        <v>1960</v>
      </c>
      <c r="B501" s="3" t="s">
        <v>1961</v>
      </c>
      <c r="C501" s="2" t="s">
        <v>1957</v>
      </c>
      <c r="D501" s="3" t="s">
        <v>1958</v>
      </c>
      <c r="E501" s="3" t="s">
        <v>1949</v>
      </c>
      <c r="F501" s="3" t="s">
        <v>1696</v>
      </c>
      <c r="G501" s="4" t="s">
        <v>32</v>
      </c>
      <c r="H501" s="4" t="s">
        <v>32</v>
      </c>
      <c r="I501" s="2" t="s">
        <v>1957</v>
      </c>
      <c r="J501" s="3" t="s">
        <v>1959</v>
      </c>
      <c r="K501" s="3" t="s">
        <v>1696</v>
      </c>
      <c r="L501" s="3" t="s">
        <v>1954</v>
      </c>
      <c r="M501" s="4" t="s">
        <v>25</v>
      </c>
      <c r="N501" s="4" t="s">
        <v>63</v>
      </c>
    </row>
    <row r="502" spans="1:14" ht="24" x14ac:dyDescent="0.25">
      <c r="A502" s="2" t="s">
        <v>1962</v>
      </c>
      <c r="B502" s="3" t="s">
        <v>1963</v>
      </c>
      <c r="C502" s="2" t="s">
        <v>1964</v>
      </c>
      <c r="D502" s="3" t="s">
        <v>1963</v>
      </c>
      <c r="E502" s="3" t="s">
        <v>1965</v>
      </c>
      <c r="F502" s="3" t="s">
        <v>1696</v>
      </c>
      <c r="G502" s="4" t="s">
        <v>32</v>
      </c>
      <c r="H502" s="4" t="s">
        <v>32</v>
      </c>
      <c r="I502" s="2" t="s">
        <v>1964</v>
      </c>
      <c r="J502" s="3" t="s">
        <v>1966</v>
      </c>
      <c r="K502" s="3" t="s">
        <v>1696</v>
      </c>
      <c r="L502" s="3" t="s">
        <v>1951</v>
      </c>
      <c r="M502" s="4" t="s">
        <v>34</v>
      </c>
      <c r="N502" s="4" t="s">
        <v>63</v>
      </c>
    </row>
    <row r="503" spans="1:14" ht="36" x14ac:dyDescent="0.25">
      <c r="A503" s="2" t="s">
        <v>1967</v>
      </c>
      <c r="B503" s="3" t="s">
        <v>1968</v>
      </c>
      <c r="C503" s="2" t="s">
        <v>1522</v>
      </c>
      <c r="D503" s="3" t="s">
        <v>1523</v>
      </c>
      <c r="E503" s="3" t="s">
        <v>1965</v>
      </c>
      <c r="F503" s="3" t="s">
        <v>41</v>
      </c>
      <c r="G503" s="4" t="s">
        <v>20</v>
      </c>
      <c r="H503" s="4" t="s">
        <v>20</v>
      </c>
      <c r="I503" s="2" t="s">
        <v>1969</v>
      </c>
      <c r="J503" s="3" t="s">
        <v>1970</v>
      </c>
      <c r="K503" s="3" t="s">
        <v>1696</v>
      </c>
      <c r="L503" s="3" t="s">
        <v>1971</v>
      </c>
      <c r="M503" s="4" t="s">
        <v>25</v>
      </c>
      <c r="N503" s="4" t="s">
        <v>26</v>
      </c>
    </row>
    <row r="504" spans="1:14" ht="24" x14ac:dyDescent="0.25">
      <c r="A504" s="2" t="s">
        <v>1972</v>
      </c>
      <c r="B504" s="3" t="s">
        <v>1973</v>
      </c>
      <c r="C504" s="2" t="s">
        <v>910</v>
      </c>
      <c r="D504" s="3" t="s">
        <v>911</v>
      </c>
      <c r="E504" s="3" t="s">
        <v>1965</v>
      </c>
      <c r="F504" s="3" t="s">
        <v>41</v>
      </c>
      <c r="G504" s="4" t="s">
        <v>20</v>
      </c>
      <c r="H504" s="4" t="s">
        <v>20</v>
      </c>
      <c r="I504" s="2" t="s">
        <v>1693</v>
      </c>
      <c r="J504" s="3" t="s">
        <v>1974</v>
      </c>
      <c r="K504" s="3" t="s">
        <v>1696</v>
      </c>
      <c r="L504" s="3" t="s">
        <v>1975</v>
      </c>
      <c r="M504" s="4" t="s">
        <v>25</v>
      </c>
      <c r="N504" s="4" t="s">
        <v>26</v>
      </c>
    </row>
    <row r="505" spans="1:14" ht="36" x14ac:dyDescent="0.25">
      <c r="A505" s="2" t="s">
        <v>1976</v>
      </c>
      <c r="B505" s="3" t="s">
        <v>1977</v>
      </c>
      <c r="C505" s="2" t="s">
        <v>66</v>
      </c>
      <c r="D505" s="3"/>
      <c r="E505" s="3" t="s">
        <v>1965</v>
      </c>
      <c r="F505" s="3"/>
      <c r="G505" s="4" t="s">
        <v>68</v>
      </c>
      <c r="H505" s="4" t="s">
        <v>68</v>
      </c>
      <c r="I505" s="2"/>
      <c r="J505" s="3"/>
      <c r="K505" s="3"/>
      <c r="L505" s="3" t="s">
        <v>1978</v>
      </c>
      <c r="M505" s="4" t="s">
        <v>25</v>
      </c>
      <c r="N505" s="4" t="s">
        <v>35</v>
      </c>
    </row>
    <row r="506" spans="1:14" ht="36" x14ac:dyDescent="0.25">
      <c r="A506" s="2" t="s">
        <v>1979</v>
      </c>
      <c r="B506" s="3" t="s">
        <v>1980</v>
      </c>
      <c r="C506" s="2" t="s">
        <v>1677</v>
      </c>
      <c r="D506" s="3" t="s">
        <v>1678</v>
      </c>
      <c r="E506" s="3" t="s">
        <v>1965</v>
      </c>
      <c r="F506" s="3" t="s">
        <v>171</v>
      </c>
      <c r="G506" s="4" t="s">
        <v>20</v>
      </c>
      <c r="H506" s="4" t="s">
        <v>20</v>
      </c>
      <c r="I506" s="2" t="s">
        <v>1693</v>
      </c>
      <c r="J506" s="3" t="s">
        <v>1974</v>
      </c>
      <c r="K506" s="3" t="s">
        <v>1696</v>
      </c>
      <c r="L506" s="3" t="s">
        <v>1981</v>
      </c>
      <c r="M506" s="4" t="s">
        <v>25</v>
      </c>
      <c r="N506" s="4" t="s">
        <v>26</v>
      </c>
    </row>
    <row r="507" spans="1:14" ht="60" x14ac:dyDescent="0.25">
      <c r="A507" s="2" t="s">
        <v>1982</v>
      </c>
      <c r="B507" s="3" t="s">
        <v>1983</v>
      </c>
      <c r="C507" s="2" t="s">
        <v>1984</v>
      </c>
      <c r="D507" s="3" t="s">
        <v>1985</v>
      </c>
      <c r="E507" s="3" t="s">
        <v>507</v>
      </c>
      <c r="F507" s="3" t="s">
        <v>499</v>
      </c>
      <c r="G507" s="4" t="s">
        <v>20</v>
      </c>
      <c r="H507" s="4" t="s">
        <v>32</v>
      </c>
      <c r="I507" s="2" t="s">
        <v>1986</v>
      </c>
      <c r="J507" s="3" t="s">
        <v>1987</v>
      </c>
      <c r="K507" s="3" t="s">
        <v>499</v>
      </c>
      <c r="L507" s="3" t="s">
        <v>1988</v>
      </c>
      <c r="M507" s="4" t="s">
        <v>25</v>
      </c>
      <c r="N507" s="4" t="s">
        <v>26</v>
      </c>
    </row>
    <row r="508" spans="1:14" ht="60" x14ac:dyDescent="0.25">
      <c r="A508" s="2" t="s">
        <v>1989</v>
      </c>
      <c r="B508" s="3" t="s">
        <v>1990</v>
      </c>
      <c r="C508" s="2" t="s">
        <v>1984</v>
      </c>
      <c r="D508" s="3" t="s">
        <v>1985</v>
      </c>
      <c r="E508" s="3" t="s">
        <v>507</v>
      </c>
      <c r="F508" s="3" t="s">
        <v>499</v>
      </c>
      <c r="G508" s="4" t="s">
        <v>20</v>
      </c>
      <c r="H508" s="4" t="s">
        <v>32</v>
      </c>
      <c r="I508" s="2" t="s">
        <v>1986</v>
      </c>
      <c r="J508" s="3" t="s">
        <v>1987</v>
      </c>
      <c r="K508" s="3" t="s">
        <v>499</v>
      </c>
      <c r="L508" s="3" t="s">
        <v>1988</v>
      </c>
      <c r="M508" s="4" t="s">
        <v>25</v>
      </c>
      <c r="N508" s="4" t="s">
        <v>26</v>
      </c>
    </row>
    <row r="509" spans="1:14" ht="60" x14ac:dyDescent="0.25">
      <c r="A509" s="2" t="s">
        <v>1991</v>
      </c>
      <c r="B509" s="3" t="s">
        <v>1992</v>
      </c>
      <c r="C509" s="2" t="s">
        <v>1881</v>
      </c>
      <c r="D509" s="3" t="s">
        <v>1882</v>
      </c>
      <c r="E509" s="3" t="s">
        <v>507</v>
      </c>
      <c r="F509" s="3" t="s">
        <v>1424</v>
      </c>
      <c r="G509" s="4" t="s">
        <v>20</v>
      </c>
      <c r="H509" s="4" t="s">
        <v>20</v>
      </c>
      <c r="I509" s="2" t="s">
        <v>1986</v>
      </c>
      <c r="J509" s="3" t="s">
        <v>1987</v>
      </c>
      <c r="K509" s="3" t="s">
        <v>499</v>
      </c>
      <c r="L509" s="3" t="s">
        <v>1993</v>
      </c>
      <c r="M509" s="4" t="s">
        <v>25</v>
      </c>
      <c r="N509" s="4" t="s">
        <v>26</v>
      </c>
    </row>
    <row r="510" spans="1:14" ht="72" x14ac:dyDescent="0.25">
      <c r="A510" s="2" t="s">
        <v>1994</v>
      </c>
      <c r="B510" s="3" t="s">
        <v>1995</v>
      </c>
      <c r="C510" s="2" t="s">
        <v>1425</v>
      </c>
      <c r="D510" s="3" t="s">
        <v>1996</v>
      </c>
      <c r="E510" s="3" t="s">
        <v>507</v>
      </c>
      <c r="F510" s="3" t="s">
        <v>1427</v>
      </c>
      <c r="G510" s="4" t="s">
        <v>20</v>
      </c>
      <c r="H510" s="4" t="s">
        <v>20</v>
      </c>
      <c r="I510" s="2" t="s">
        <v>1986</v>
      </c>
      <c r="J510" s="3" t="s">
        <v>1987</v>
      </c>
      <c r="K510" s="3" t="s">
        <v>499</v>
      </c>
      <c r="L510" s="3" t="s">
        <v>1997</v>
      </c>
      <c r="M510" s="4" t="s">
        <v>25</v>
      </c>
      <c r="N510" s="4" t="s">
        <v>26</v>
      </c>
    </row>
    <row r="511" spans="1:14" ht="72" x14ac:dyDescent="0.25">
      <c r="A511" s="2" t="s">
        <v>1998</v>
      </c>
      <c r="B511" s="3" t="s">
        <v>1999</v>
      </c>
      <c r="C511" s="2" t="s">
        <v>1425</v>
      </c>
      <c r="D511" s="3" t="s">
        <v>1996</v>
      </c>
      <c r="E511" s="3" t="s">
        <v>507</v>
      </c>
      <c r="F511" s="3" t="s">
        <v>1427</v>
      </c>
      <c r="G511" s="4" t="s">
        <v>20</v>
      </c>
      <c r="H511" s="4" t="s">
        <v>20</v>
      </c>
      <c r="I511" s="2" t="s">
        <v>1986</v>
      </c>
      <c r="J511" s="3" t="s">
        <v>1987</v>
      </c>
      <c r="K511" s="3" t="s">
        <v>499</v>
      </c>
      <c r="L511" s="3" t="s">
        <v>1997</v>
      </c>
      <c r="M511" s="4" t="s">
        <v>25</v>
      </c>
      <c r="N511" s="4" t="s">
        <v>26</v>
      </c>
    </row>
    <row r="512" spans="1:14" ht="72" x14ac:dyDescent="0.25">
      <c r="A512" s="2" t="s">
        <v>2000</v>
      </c>
      <c r="B512" s="3" t="s">
        <v>2001</v>
      </c>
      <c r="C512" s="2" t="s">
        <v>1425</v>
      </c>
      <c r="D512" s="3" t="s">
        <v>1996</v>
      </c>
      <c r="E512" s="3" t="s">
        <v>507</v>
      </c>
      <c r="F512" s="3" t="s">
        <v>1427</v>
      </c>
      <c r="G512" s="4" t="s">
        <v>20</v>
      </c>
      <c r="H512" s="4" t="s">
        <v>20</v>
      </c>
      <c r="I512" s="2" t="s">
        <v>1986</v>
      </c>
      <c r="J512" s="3" t="s">
        <v>1987</v>
      </c>
      <c r="K512" s="3" t="s">
        <v>499</v>
      </c>
      <c r="L512" s="3" t="s">
        <v>1997</v>
      </c>
      <c r="M512" s="4" t="s">
        <v>25</v>
      </c>
      <c r="N512" s="4" t="s">
        <v>26</v>
      </c>
    </row>
    <row r="513" spans="1:14" ht="72" x14ac:dyDescent="0.25">
      <c r="A513" s="2" t="s">
        <v>2002</v>
      </c>
      <c r="B513" s="3" t="s">
        <v>2003</v>
      </c>
      <c r="C513" s="2" t="s">
        <v>1425</v>
      </c>
      <c r="D513" s="3" t="s">
        <v>1996</v>
      </c>
      <c r="E513" s="3" t="s">
        <v>507</v>
      </c>
      <c r="F513" s="3" t="s">
        <v>1427</v>
      </c>
      <c r="G513" s="4" t="s">
        <v>20</v>
      </c>
      <c r="H513" s="4" t="s">
        <v>20</v>
      </c>
      <c r="I513" s="2" t="s">
        <v>1986</v>
      </c>
      <c r="J513" s="3" t="s">
        <v>1987</v>
      </c>
      <c r="K513" s="3" t="s">
        <v>499</v>
      </c>
      <c r="L513" s="3" t="s">
        <v>1997</v>
      </c>
      <c r="M513" s="4" t="s">
        <v>25</v>
      </c>
      <c r="N513" s="4" t="s">
        <v>26</v>
      </c>
    </row>
    <row r="514" spans="1:14" ht="60" x14ac:dyDescent="0.25">
      <c r="A514" s="2" t="s">
        <v>2004</v>
      </c>
      <c r="B514" s="3" t="s">
        <v>2005</v>
      </c>
      <c r="C514" s="2" t="s">
        <v>2006</v>
      </c>
      <c r="D514" s="3" t="s">
        <v>2007</v>
      </c>
      <c r="E514" s="3" t="s">
        <v>507</v>
      </c>
      <c r="F514" s="3" t="s">
        <v>1424</v>
      </c>
      <c r="G514" s="4" t="s">
        <v>20</v>
      </c>
      <c r="H514" s="4" t="s">
        <v>20</v>
      </c>
      <c r="I514" s="2" t="s">
        <v>1986</v>
      </c>
      <c r="J514" s="3" t="s">
        <v>1987</v>
      </c>
      <c r="K514" s="3" t="s">
        <v>499</v>
      </c>
      <c r="L514" s="3" t="s">
        <v>2008</v>
      </c>
      <c r="M514" s="4" t="s">
        <v>25</v>
      </c>
      <c r="N514" s="4" t="s">
        <v>26</v>
      </c>
    </row>
    <row r="515" spans="1:14" ht="60" x14ac:dyDescent="0.25">
      <c r="A515" s="2" t="s">
        <v>2009</v>
      </c>
      <c r="B515" s="3" t="s">
        <v>2010</v>
      </c>
      <c r="C515" s="2" t="s">
        <v>2006</v>
      </c>
      <c r="D515" s="3" t="s">
        <v>2007</v>
      </c>
      <c r="E515" s="3" t="s">
        <v>507</v>
      </c>
      <c r="F515" s="3" t="s">
        <v>1424</v>
      </c>
      <c r="G515" s="4" t="s">
        <v>20</v>
      </c>
      <c r="H515" s="4" t="s">
        <v>20</v>
      </c>
      <c r="I515" s="2" t="s">
        <v>1986</v>
      </c>
      <c r="J515" s="3" t="s">
        <v>1987</v>
      </c>
      <c r="K515" s="3" t="s">
        <v>499</v>
      </c>
      <c r="L515" s="3" t="s">
        <v>2008</v>
      </c>
      <c r="M515" s="4" t="s">
        <v>25</v>
      </c>
      <c r="N515" s="4" t="s">
        <v>26</v>
      </c>
    </row>
    <row r="516" spans="1:14" ht="60" x14ac:dyDescent="0.25">
      <c r="A516" s="2" t="s">
        <v>2011</v>
      </c>
      <c r="B516" s="3" t="s">
        <v>2012</v>
      </c>
      <c r="C516" s="2" t="s">
        <v>2013</v>
      </c>
      <c r="D516" s="3" t="s">
        <v>2014</v>
      </c>
      <c r="E516" s="3" t="s">
        <v>507</v>
      </c>
      <c r="F516" s="3" t="s">
        <v>1427</v>
      </c>
      <c r="G516" s="4" t="s">
        <v>20</v>
      </c>
      <c r="H516" s="4" t="s">
        <v>20</v>
      </c>
      <c r="I516" s="2" t="s">
        <v>1986</v>
      </c>
      <c r="J516" s="3" t="s">
        <v>1987</v>
      </c>
      <c r="K516" s="3" t="s">
        <v>499</v>
      </c>
      <c r="L516" s="3" t="s">
        <v>2015</v>
      </c>
      <c r="M516" s="4" t="s">
        <v>25</v>
      </c>
      <c r="N516" s="4" t="s">
        <v>26</v>
      </c>
    </row>
    <row r="517" spans="1:14" ht="60" x14ac:dyDescent="0.25">
      <c r="A517" s="2" t="s">
        <v>2016</v>
      </c>
      <c r="B517" s="3" t="s">
        <v>2017</v>
      </c>
      <c r="C517" s="2" t="s">
        <v>2013</v>
      </c>
      <c r="D517" s="3" t="s">
        <v>2014</v>
      </c>
      <c r="E517" s="3" t="s">
        <v>507</v>
      </c>
      <c r="F517" s="3" t="s">
        <v>1427</v>
      </c>
      <c r="G517" s="4" t="s">
        <v>20</v>
      </c>
      <c r="H517" s="4" t="s">
        <v>20</v>
      </c>
      <c r="I517" s="2" t="s">
        <v>1986</v>
      </c>
      <c r="J517" s="3" t="s">
        <v>1987</v>
      </c>
      <c r="K517" s="3" t="s">
        <v>499</v>
      </c>
      <c r="L517" s="3" t="s">
        <v>2015</v>
      </c>
      <c r="M517" s="4" t="s">
        <v>25</v>
      </c>
      <c r="N517" s="4" t="s">
        <v>26</v>
      </c>
    </row>
    <row r="518" spans="1:14" ht="36" x14ac:dyDescent="0.25">
      <c r="A518" s="2" t="s">
        <v>2018</v>
      </c>
      <c r="B518" s="3" t="s">
        <v>2019</v>
      </c>
      <c r="C518" s="2" t="s">
        <v>620</v>
      </c>
      <c r="D518" s="3" t="s">
        <v>621</v>
      </c>
      <c r="E518" s="3" t="s">
        <v>567</v>
      </c>
      <c r="F518" s="3" t="s">
        <v>224</v>
      </c>
      <c r="G518" s="4" t="s">
        <v>20</v>
      </c>
      <c r="H518" s="4" t="s">
        <v>32</v>
      </c>
      <c r="I518" s="2" t="s">
        <v>222</v>
      </c>
      <c r="J518" s="3" t="s">
        <v>608</v>
      </c>
      <c r="K518" s="3" t="s">
        <v>224</v>
      </c>
      <c r="L518" s="3" t="s">
        <v>2020</v>
      </c>
      <c r="M518" s="4" t="s">
        <v>25</v>
      </c>
      <c r="N518" s="4" t="s">
        <v>26</v>
      </c>
    </row>
    <row r="519" spans="1:14" ht="72" x14ac:dyDescent="0.25">
      <c r="A519" s="2" t="s">
        <v>2021</v>
      </c>
      <c r="B519" s="3" t="s">
        <v>2022</v>
      </c>
      <c r="C519" s="2" t="s">
        <v>1421</v>
      </c>
      <c r="D519" s="3" t="s">
        <v>1422</v>
      </c>
      <c r="E519" s="3" t="s">
        <v>507</v>
      </c>
      <c r="F519" s="3" t="s">
        <v>1424</v>
      </c>
      <c r="G519" s="4" t="s">
        <v>20</v>
      </c>
      <c r="H519" s="4" t="s">
        <v>20</v>
      </c>
      <c r="I519" s="2" t="s">
        <v>1986</v>
      </c>
      <c r="J519" s="3" t="s">
        <v>1987</v>
      </c>
      <c r="K519" s="3" t="s">
        <v>499</v>
      </c>
      <c r="L519" s="3" t="s">
        <v>2023</v>
      </c>
      <c r="M519" s="4" t="s">
        <v>25</v>
      </c>
      <c r="N519" s="4" t="s">
        <v>26</v>
      </c>
    </row>
    <row r="520" spans="1:14" ht="60" x14ac:dyDescent="0.25">
      <c r="A520" s="2" t="s">
        <v>2024</v>
      </c>
      <c r="B520" s="3" t="s">
        <v>2025</v>
      </c>
      <c r="C520" s="2" t="s">
        <v>1881</v>
      </c>
      <c r="D520" s="3" t="s">
        <v>1882</v>
      </c>
      <c r="E520" s="3" t="s">
        <v>507</v>
      </c>
      <c r="F520" s="3" t="s">
        <v>1424</v>
      </c>
      <c r="G520" s="4" t="s">
        <v>20</v>
      </c>
      <c r="H520" s="4" t="s">
        <v>20</v>
      </c>
      <c r="I520" s="2" t="s">
        <v>2026</v>
      </c>
      <c r="J520" s="3" t="s">
        <v>2027</v>
      </c>
      <c r="K520" s="3" t="s">
        <v>499</v>
      </c>
      <c r="L520" s="3" t="s">
        <v>2028</v>
      </c>
      <c r="M520" s="4" t="s">
        <v>234</v>
      </c>
      <c r="N520" s="4" t="s">
        <v>235</v>
      </c>
    </row>
    <row r="521" spans="1:14" ht="48" x14ac:dyDescent="0.25">
      <c r="A521" s="2" t="s">
        <v>2029</v>
      </c>
      <c r="B521" s="3" t="s">
        <v>2030</v>
      </c>
      <c r="C521" s="2" t="s">
        <v>2031</v>
      </c>
      <c r="D521" s="3" t="s">
        <v>2032</v>
      </c>
      <c r="E521" s="3" t="s">
        <v>507</v>
      </c>
      <c r="F521" s="3" t="s">
        <v>499</v>
      </c>
      <c r="G521" s="4" t="s">
        <v>32</v>
      </c>
      <c r="H521" s="4" t="s">
        <v>32</v>
      </c>
      <c r="I521" s="2" t="s">
        <v>2031</v>
      </c>
      <c r="J521" s="3" t="s">
        <v>2033</v>
      </c>
      <c r="K521" s="3" t="s">
        <v>499</v>
      </c>
      <c r="L521" s="3" t="s">
        <v>2034</v>
      </c>
      <c r="M521" s="4" t="s">
        <v>25</v>
      </c>
      <c r="N521" s="4" t="s">
        <v>63</v>
      </c>
    </row>
    <row r="522" spans="1:14" ht="36" x14ac:dyDescent="0.25">
      <c r="A522" s="2" t="s">
        <v>2035</v>
      </c>
      <c r="B522" s="3" t="s">
        <v>2019</v>
      </c>
      <c r="C522" s="2" t="s">
        <v>620</v>
      </c>
      <c r="D522" s="3" t="s">
        <v>621</v>
      </c>
      <c r="E522" s="3" t="s">
        <v>1610</v>
      </c>
      <c r="F522" s="3" t="s">
        <v>224</v>
      </c>
      <c r="G522" s="4" t="s">
        <v>20</v>
      </c>
      <c r="H522" s="4" t="s">
        <v>1611</v>
      </c>
      <c r="I522" s="2" t="s">
        <v>222</v>
      </c>
      <c r="J522" s="3" t="s">
        <v>608</v>
      </c>
      <c r="K522" s="3" t="s">
        <v>224</v>
      </c>
      <c r="L522" s="3" t="s">
        <v>2036</v>
      </c>
      <c r="M522" s="4" t="s">
        <v>25</v>
      </c>
      <c r="N522" s="4" t="s">
        <v>26</v>
      </c>
    </row>
    <row r="523" spans="1:14" ht="36" x14ac:dyDescent="0.25">
      <c r="A523" s="2" t="s">
        <v>2037</v>
      </c>
      <c r="B523" s="3" t="s">
        <v>2038</v>
      </c>
      <c r="C523" s="2" t="s">
        <v>2039</v>
      </c>
      <c r="D523" s="3" t="s">
        <v>2040</v>
      </c>
      <c r="E523" s="3" t="s">
        <v>567</v>
      </c>
      <c r="F523" s="3" t="s">
        <v>41</v>
      </c>
      <c r="G523" s="4" t="s">
        <v>20</v>
      </c>
      <c r="H523" s="4" t="s">
        <v>20</v>
      </c>
      <c r="I523" s="2" t="s">
        <v>555</v>
      </c>
      <c r="J523" s="3" t="s">
        <v>556</v>
      </c>
      <c r="K523" s="3" t="s">
        <v>224</v>
      </c>
      <c r="L523" s="3" t="s">
        <v>2041</v>
      </c>
      <c r="M523" s="4" t="s">
        <v>25</v>
      </c>
      <c r="N523" s="4" t="s">
        <v>26</v>
      </c>
    </row>
    <row r="524" spans="1:14" ht="48" x14ac:dyDescent="0.25">
      <c r="A524" s="2" t="s">
        <v>2042</v>
      </c>
      <c r="B524" s="3" t="s">
        <v>2043</v>
      </c>
      <c r="C524" s="2" t="s">
        <v>505</v>
      </c>
      <c r="D524" s="3" t="s">
        <v>506</v>
      </c>
      <c r="E524" s="3" t="s">
        <v>507</v>
      </c>
      <c r="F524" s="3" t="s">
        <v>499</v>
      </c>
      <c r="G524" s="4" t="s">
        <v>32</v>
      </c>
      <c r="H524" s="4" t="s">
        <v>32</v>
      </c>
      <c r="I524" s="2" t="s">
        <v>505</v>
      </c>
      <c r="J524" s="3" t="s">
        <v>508</v>
      </c>
      <c r="K524" s="3" t="s">
        <v>499</v>
      </c>
      <c r="L524" s="3" t="s">
        <v>509</v>
      </c>
      <c r="M524" s="4" t="s">
        <v>25</v>
      </c>
      <c r="N524" s="4" t="s">
        <v>63</v>
      </c>
    </row>
    <row r="525" spans="1:14" ht="36" x14ac:dyDescent="0.25">
      <c r="A525" s="2" t="s">
        <v>2044</v>
      </c>
      <c r="B525" s="3" t="s">
        <v>2038</v>
      </c>
      <c r="C525" s="2" t="s">
        <v>2039</v>
      </c>
      <c r="D525" s="3" t="s">
        <v>2040</v>
      </c>
      <c r="E525" s="3" t="s">
        <v>1610</v>
      </c>
      <c r="F525" s="3" t="s">
        <v>41</v>
      </c>
      <c r="G525" s="4" t="s">
        <v>20</v>
      </c>
      <c r="H525" s="4" t="s">
        <v>1611</v>
      </c>
      <c r="I525" s="2" t="s">
        <v>555</v>
      </c>
      <c r="J525" s="3" t="s">
        <v>556</v>
      </c>
      <c r="K525" s="3" t="s">
        <v>224</v>
      </c>
      <c r="L525" s="3" t="s">
        <v>2045</v>
      </c>
      <c r="M525" s="4" t="s">
        <v>25</v>
      </c>
      <c r="N525" s="4" t="s">
        <v>26</v>
      </c>
    </row>
    <row r="526" spans="1:14" ht="48" x14ac:dyDescent="0.25">
      <c r="A526" s="2" t="s">
        <v>2046</v>
      </c>
      <c r="B526" s="3" t="s">
        <v>2047</v>
      </c>
      <c r="C526" s="2" t="s">
        <v>505</v>
      </c>
      <c r="D526" s="3" t="s">
        <v>506</v>
      </c>
      <c r="E526" s="3" t="s">
        <v>507</v>
      </c>
      <c r="F526" s="3" t="s">
        <v>499</v>
      </c>
      <c r="G526" s="4" t="s">
        <v>32</v>
      </c>
      <c r="H526" s="4" t="s">
        <v>32</v>
      </c>
      <c r="I526" s="2" t="s">
        <v>505</v>
      </c>
      <c r="J526" s="3" t="s">
        <v>508</v>
      </c>
      <c r="K526" s="3" t="s">
        <v>499</v>
      </c>
      <c r="L526" s="3" t="s">
        <v>509</v>
      </c>
      <c r="M526" s="4" t="s">
        <v>25</v>
      </c>
      <c r="N526" s="4" t="s">
        <v>63</v>
      </c>
    </row>
    <row r="527" spans="1:14" ht="48" x14ac:dyDescent="0.25">
      <c r="A527" s="2" t="s">
        <v>2048</v>
      </c>
      <c r="B527" s="3" t="s">
        <v>2049</v>
      </c>
      <c r="C527" s="2" t="s">
        <v>505</v>
      </c>
      <c r="D527" s="3" t="s">
        <v>506</v>
      </c>
      <c r="E527" s="3" t="s">
        <v>507</v>
      </c>
      <c r="F527" s="3" t="s">
        <v>499</v>
      </c>
      <c r="G527" s="4" t="s">
        <v>32</v>
      </c>
      <c r="H527" s="4" t="s">
        <v>32</v>
      </c>
      <c r="I527" s="2" t="s">
        <v>505</v>
      </c>
      <c r="J527" s="3" t="s">
        <v>508</v>
      </c>
      <c r="K527" s="3" t="s">
        <v>499</v>
      </c>
      <c r="L527" s="3" t="s">
        <v>509</v>
      </c>
      <c r="M527" s="4" t="s">
        <v>25</v>
      </c>
      <c r="N527" s="4" t="s">
        <v>63</v>
      </c>
    </row>
    <row r="528" spans="1:14" ht="36" x14ac:dyDescent="0.25">
      <c r="A528" s="2" t="s">
        <v>2050</v>
      </c>
      <c r="B528" s="3" t="s">
        <v>2051</v>
      </c>
      <c r="C528" s="2" t="s">
        <v>620</v>
      </c>
      <c r="D528" s="3" t="s">
        <v>621</v>
      </c>
      <c r="E528" s="3" t="s">
        <v>567</v>
      </c>
      <c r="F528" s="3" t="s">
        <v>224</v>
      </c>
      <c r="G528" s="4" t="s">
        <v>20</v>
      </c>
      <c r="H528" s="4" t="s">
        <v>32</v>
      </c>
      <c r="I528" s="2" t="s">
        <v>555</v>
      </c>
      <c r="J528" s="3" t="s">
        <v>556</v>
      </c>
      <c r="K528" s="3" t="s">
        <v>224</v>
      </c>
      <c r="L528" s="3" t="s">
        <v>622</v>
      </c>
      <c r="M528" s="4" t="s">
        <v>25</v>
      </c>
      <c r="N528" s="4" t="s">
        <v>26</v>
      </c>
    </row>
    <row r="529" spans="1:14" ht="48" x14ac:dyDescent="0.25">
      <c r="A529" s="2" t="s">
        <v>2052</v>
      </c>
      <c r="B529" s="3" t="s">
        <v>2053</v>
      </c>
      <c r="C529" s="2" t="s">
        <v>2054</v>
      </c>
      <c r="D529" s="3" t="s">
        <v>2055</v>
      </c>
      <c r="E529" s="3" t="s">
        <v>507</v>
      </c>
      <c r="F529" s="3" t="s">
        <v>499</v>
      </c>
      <c r="G529" s="4" t="s">
        <v>20</v>
      </c>
      <c r="H529" s="4" t="s">
        <v>32</v>
      </c>
      <c r="I529" s="2" t="s">
        <v>505</v>
      </c>
      <c r="J529" s="3" t="s">
        <v>508</v>
      </c>
      <c r="K529" s="3" t="s">
        <v>499</v>
      </c>
      <c r="L529" s="3" t="s">
        <v>2056</v>
      </c>
      <c r="M529" s="4" t="s">
        <v>25</v>
      </c>
      <c r="N529" s="4" t="s">
        <v>26</v>
      </c>
    </row>
    <row r="530" spans="1:14" ht="36" x14ac:dyDescent="0.25">
      <c r="A530" s="2" t="s">
        <v>2057</v>
      </c>
      <c r="B530" s="3" t="s">
        <v>2051</v>
      </c>
      <c r="C530" s="2" t="s">
        <v>620</v>
      </c>
      <c r="D530" s="3" t="s">
        <v>621</v>
      </c>
      <c r="E530" s="3" t="s">
        <v>1610</v>
      </c>
      <c r="F530" s="3" t="s">
        <v>224</v>
      </c>
      <c r="G530" s="4" t="s">
        <v>20</v>
      </c>
      <c r="H530" s="4" t="s">
        <v>1611</v>
      </c>
      <c r="I530" s="2" t="s">
        <v>555</v>
      </c>
      <c r="J530" s="3" t="s">
        <v>556</v>
      </c>
      <c r="K530" s="3" t="s">
        <v>224</v>
      </c>
      <c r="L530" s="3" t="s">
        <v>2058</v>
      </c>
      <c r="M530" s="4" t="s">
        <v>25</v>
      </c>
      <c r="N530" s="4" t="s">
        <v>26</v>
      </c>
    </row>
    <row r="531" spans="1:14" ht="48" x14ac:dyDescent="0.25">
      <c r="A531" s="2" t="s">
        <v>2059</v>
      </c>
      <c r="B531" s="3" t="s">
        <v>2060</v>
      </c>
      <c r="C531" s="2" t="s">
        <v>2013</v>
      </c>
      <c r="D531" s="3" t="s">
        <v>2014</v>
      </c>
      <c r="E531" s="3" t="s">
        <v>507</v>
      </c>
      <c r="F531" s="3" t="s">
        <v>1427</v>
      </c>
      <c r="G531" s="4" t="s">
        <v>20</v>
      </c>
      <c r="H531" s="4" t="s">
        <v>20</v>
      </c>
      <c r="I531" s="2" t="s">
        <v>505</v>
      </c>
      <c r="J531" s="3" t="s">
        <v>508</v>
      </c>
      <c r="K531" s="3" t="s">
        <v>499</v>
      </c>
      <c r="L531" s="3" t="s">
        <v>2061</v>
      </c>
      <c r="M531" s="4" t="s">
        <v>25</v>
      </c>
      <c r="N531" s="4" t="s">
        <v>26</v>
      </c>
    </row>
    <row r="532" spans="1:14" ht="48" x14ac:dyDescent="0.25">
      <c r="A532" s="2" t="s">
        <v>2062</v>
      </c>
      <c r="B532" s="3" t="s">
        <v>2063</v>
      </c>
      <c r="C532" s="2" t="s">
        <v>66</v>
      </c>
      <c r="D532" s="3"/>
      <c r="E532" s="3" t="s">
        <v>1033</v>
      </c>
      <c r="F532" s="3"/>
      <c r="G532" s="4" t="s">
        <v>68</v>
      </c>
      <c r="H532" s="4" t="s">
        <v>68</v>
      </c>
      <c r="I532" s="2" t="s">
        <v>1024</v>
      </c>
      <c r="J532" s="3" t="s">
        <v>1025</v>
      </c>
      <c r="K532" s="3" t="s">
        <v>148</v>
      </c>
      <c r="L532" s="3" t="s">
        <v>2064</v>
      </c>
      <c r="M532" s="4" t="s">
        <v>25</v>
      </c>
      <c r="N532" s="4" t="s">
        <v>26</v>
      </c>
    </row>
    <row r="533" spans="1:14" ht="48" x14ac:dyDescent="0.25">
      <c r="A533" s="2" t="s">
        <v>2065</v>
      </c>
      <c r="B533" s="3" t="s">
        <v>2063</v>
      </c>
      <c r="C533" s="2" t="s">
        <v>66</v>
      </c>
      <c r="D533" s="3"/>
      <c r="E533" s="3" t="s">
        <v>170</v>
      </c>
      <c r="F533" s="3"/>
      <c r="G533" s="4" t="s">
        <v>68</v>
      </c>
      <c r="H533" s="4" t="s">
        <v>68</v>
      </c>
      <c r="I533" s="2"/>
      <c r="J533" s="3"/>
      <c r="K533" s="3"/>
      <c r="L533" s="3" t="s">
        <v>1615</v>
      </c>
      <c r="M533" s="4" t="s">
        <v>234</v>
      </c>
      <c r="N533" s="4" t="s">
        <v>235</v>
      </c>
    </row>
    <row r="534" spans="1:14" ht="60" x14ac:dyDescent="0.25">
      <c r="A534" s="2" t="s">
        <v>2066</v>
      </c>
      <c r="B534" s="3" t="s">
        <v>2067</v>
      </c>
      <c r="C534" s="2" t="s">
        <v>505</v>
      </c>
      <c r="D534" s="3" t="s">
        <v>506</v>
      </c>
      <c r="E534" s="3" t="s">
        <v>507</v>
      </c>
      <c r="F534" s="3" t="s">
        <v>499</v>
      </c>
      <c r="G534" s="4" t="s">
        <v>20</v>
      </c>
      <c r="H534" s="4" t="s">
        <v>32</v>
      </c>
      <c r="I534" s="2"/>
      <c r="J534" s="3"/>
      <c r="K534" s="3"/>
      <c r="L534" s="3" t="s">
        <v>2068</v>
      </c>
      <c r="M534" s="4" t="s">
        <v>25</v>
      </c>
      <c r="N534" s="4" t="s">
        <v>35</v>
      </c>
    </row>
    <row r="535" spans="1:14" ht="36" x14ac:dyDescent="0.25">
      <c r="A535" s="2" t="s">
        <v>2069</v>
      </c>
      <c r="B535" s="3" t="s">
        <v>2070</v>
      </c>
      <c r="C535" s="2" t="s">
        <v>327</v>
      </c>
      <c r="D535" s="3" t="s">
        <v>328</v>
      </c>
      <c r="E535" s="3" t="s">
        <v>1610</v>
      </c>
      <c r="F535" s="3" t="s">
        <v>205</v>
      </c>
      <c r="G535" s="4" t="s">
        <v>20</v>
      </c>
      <c r="H535" s="4" t="s">
        <v>1611</v>
      </c>
      <c r="I535" s="2" t="s">
        <v>329</v>
      </c>
      <c r="J535" s="3" t="s">
        <v>330</v>
      </c>
      <c r="K535" s="3" t="s">
        <v>205</v>
      </c>
      <c r="L535" s="3" t="s">
        <v>2071</v>
      </c>
      <c r="M535" s="4" t="s">
        <v>34</v>
      </c>
      <c r="N535" s="4" t="s">
        <v>26</v>
      </c>
    </row>
    <row r="536" spans="1:14" ht="36" x14ac:dyDescent="0.25">
      <c r="A536" s="2" t="s">
        <v>2072</v>
      </c>
      <c r="B536" s="3" t="s">
        <v>2073</v>
      </c>
      <c r="C536" s="2" t="s">
        <v>264</v>
      </c>
      <c r="D536" s="3" t="s">
        <v>265</v>
      </c>
      <c r="E536" s="3" t="s">
        <v>1610</v>
      </c>
      <c r="F536" s="3" t="s">
        <v>132</v>
      </c>
      <c r="G536" s="4" t="s">
        <v>20</v>
      </c>
      <c r="H536" s="4" t="s">
        <v>1611</v>
      </c>
      <c r="I536" s="2" t="s">
        <v>327</v>
      </c>
      <c r="J536" s="3" t="s">
        <v>337</v>
      </c>
      <c r="K536" s="3" t="s">
        <v>205</v>
      </c>
      <c r="L536" s="3" t="s">
        <v>2074</v>
      </c>
      <c r="M536" s="4" t="s">
        <v>34</v>
      </c>
      <c r="N536" s="4" t="s">
        <v>26</v>
      </c>
    </row>
    <row r="537" spans="1:14" ht="36" x14ac:dyDescent="0.25">
      <c r="A537" s="2" t="s">
        <v>2075</v>
      </c>
      <c r="B537" s="3" t="s">
        <v>2076</v>
      </c>
      <c r="C537" s="2" t="s">
        <v>264</v>
      </c>
      <c r="D537" s="3" t="s">
        <v>265</v>
      </c>
      <c r="E537" s="3" t="s">
        <v>1610</v>
      </c>
      <c r="F537" s="3" t="s">
        <v>132</v>
      </c>
      <c r="G537" s="4" t="s">
        <v>20</v>
      </c>
      <c r="H537" s="4" t="s">
        <v>1611</v>
      </c>
      <c r="I537" s="2" t="s">
        <v>327</v>
      </c>
      <c r="J537" s="3" t="s">
        <v>337</v>
      </c>
      <c r="K537" s="3" t="s">
        <v>205</v>
      </c>
      <c r="L537" s="3" t="s">
        <v>2077</v>
      </c>
      <c r="M537" s="4" t="s">
        <v>25</v>
      </c>
      <c r="N537" s="4" t="s">
        <v>26</v>
      </c>
    </row>
    <row r="538" spans="1:14" ht="36" x14ac:dyDescent="0.25">
      <c r="A538" s="2" t="s">
        <v>2078</v>
      </c>
      <c r="B538" s="3" t="s">
        <v>2079</v>
      </c>
      <c r="C538" s="2" t="s">
        <v>264</v>
      </c>
      <c r="D538" s="3" t="s">
        <v>265</v>
      </c>
      <c r="E538" s="3" t="s">
        <v>1610</v>
      </c>
      <c r="F538" s="3" t="s">
        <v>132</v>
      </c>
      <c r="G538" s="4" t="s">
        <v>20</v>
      </c>
      <c r="H538" s="4" t="s">
        <v>1611</v>
      </c>
      <c r="I538" s="2" t="s">
        <v>322</v>
      </c>
      <c r="J538" s="3" t="s">
        <v>323</v>
      </c>
      <c r="K538" s="3" t="s">
        <v>205</v>
      </c>
      <c r="L538" s="3" t="s">
        <v>2080</v>
      </c>
      <c r="M538" s="4" t="s">
        <v>34</v>
      </c>
      <c r="N538" s="4" t="s">
        <v>26</v>
      </c>
    </row>
    <row r="539" spans="1:14" ht="36" x14ac:dyDescent="0.25">
      <c r="A539" s="2" t="s">
        <v>2081</v>
      </c>
      <c r="B539" s="3" t="s">
        <v>2082</v>
      </c>
      <c r="C539" s="2" t="s">
        <v>392</v>
      </c>
      <c r="D539" s="3" t="s">
        <v>2083</v>
      </c>
      <c r="E539" s="3" t="s">
        <v>1610</v>
      </c>
      <c r="F539" s="3" t="s">
        <v>240</v>
      </c>
      <c r="G539" s="4" t="s">
        <v>32</v>
      </c>
      <c r="H539" s="4" t="s">
        <v>1611</v>
      </c>
      <c r="I539" s="2" t="s">
        <v>392</v>
      </c>
      <c r="J539" s="3" t="s">
        <v>395</v>
      </c>
      <c r="K539" s="3" t="s">
        <v>240</v>
      </c>
      <c r="L539" s="3" t="s">
        <v>2084</v>
      </c>
      <c r="M539" s="4" t="s">
        <v>34</v>
      </c>
      <c r="N539" s="4" t="s">
        <v>63</v>
      </c>
    </row>
    <row r="540" spans="1:14" ht="24" x14ac:dyDescent="0.25">
      <c r="A540" s="2" t="s">
        <v>2085</v>
      </c>
      <c r="B540" s="3" t="s">
        <v>2086</v>
      </c>
      <c r="C540" s="2" t="s">
        <v>565</v>
      </c>
      <c r="D540" s="3" t="s">
        <v>566</v>
      </c>
      <c r="E540" s="3" t="s">
        <v>1610</v>
      </c>
      <c r="F540" s="3" t="s">
        <v>224</v>
      </c>
      <c r="G540" s="4" t="s">
        <v>32</v>
      </c>
      <c r="H540" s="4" t="s">
        <v>1611</v>
      </c>
      <c r="I540" s="2" t="s">
        <v>565</v>
      </c>
      <c r="J540" s="3" t="s">
        <v>2087</v>
      </c>
      <c r="K540" s="3" t="s">
        <v>224</v>
      </c>
      <c r="L540" s="3" t="s">
        <v>2088</v>
      </c>
      <c r="M540" s="4" t="s">
        <v>34</v>
      </c>
      <c r="N540" s="4" t="s">
        <v>63</v>
      </c>
    </row>
    <row r="541" spans="1:14" ht="24" x14ac:dyDescent="0.25">
      <c r="A541" s="2" t="s">
        <v>2089</v>
      </c>
      <c r="B541" s="3" t="s">
        <v>2090</v>
      </c>
      <c r="C541" s="2" t="s">
        <v>555</v>
      </c>
      <c r="D541" s="3" t="s">
        <v>571</v>
      </c>
      <c r="E541" s="3" t="s">
        <v>1610</v>
      </c>
      <c r="F541" s="3" t="s">
        <v>224</v>
      </c>
      <c r="G541" s="4" t="s">
        <v>32</v>
      </c>
      <c r="H541" s="4" t="s">
        <v>1611</v>
      </c>
      <c r="I541" s="2" t="s">
        <v>555</v>
      </c>
      <c r="J541" s="3" t="s">
        <v>556</v>
      </c>
      <c r="K541" s="3" t="s">
        <v>224</v>
      </c>
      <c r="L541" s="3" t="s">
        <v>2091</v>
      </c>
      <c r="M541" s="4" t="s">
        <v>25</v>
      </c>
      <c r="N541" s="4" t="s">
        <v>63</v>
      </c>
    </row>
    <row r="542" spans="1:14" ht="36" x14ac:dyDescent="0.25">
      <c r="A542" s="2" t="s">
        <v>2092</v>
      </c>
      <c r="B542" s="3" t="s">
        <v>2093</v>
      </c>
      <c r="C542" s="2" t="s">
        <v>656</v>
      </c>
      <c r="D542" s="3" t="s">
        <v>661</v>
      </c>
      <c r="E542" s="3" t="s">
        <v>1610</v>
      </c>
      <c r="F542" s="3" t="s">
        <v>290</v>
      </c>
      <c r="G542" s="4" t="s">
        <v>20</v>
      </c>
      <c r="H542" s="4" t="s">
        <v>1611</v>
      </c>
      <c r="I542" s="2" t="s">
        <v>2094</v>
      </c>
      <c r="J542" s="3" t="s">
        <v>2095</v>
      </c>
      <c r="K542" s="3" t="s">
        <v>274</v>
      </c>
      <c r="L542" s="3" t="s">
        <v>2096</v>
      </c>
      <c r="M542" s="4" t="s">
        <v>25</v>
      </c>
      <c r="N542" s="4" t="s">
        <v>26</v>
      </c>
    </row>
    <row r="543" spans="1:14" ht="36" x14ac:dyDescent="0.25">
      <c r="A543" s="2" t="s">
        <v>2097</v>
      </c>
      <c r="B543" s="3" t="s">
        <v>2098</v>
      </c>
      <c r="C543" s="2" t="s">
        <v>2099</v>
      </c>
      <c r="D543" s="3" t="s">
        <v>2100</v>
      </c>
      <c r="E543" s="3" t="s">
        <v>1610</v>
      </c>
      <c r="F543" s="3" t="s">
        <v>792</v>
      </c>
      <c r="G543" s="4" t="s">
        <v>20</v>
      </c>
      <c r="H543" s="4" t="s">
        <v>1611</v>
      </c>
      <c r="I543" s="2" t="s">
        <v>2101</v>
      </c>
      <c r="J543" s="3" t="s">
        <v>2102</v>
      </c>
      <c r="K543" s="3" t="s">
        <v>224</v>
      </c>
      <c r="L543" s="3" t="s">
        <v>2103</v>
      </c>
      <c r="M543" s="4" t="s">
        <v>34</v>
      </c>
      <c r="N543" s="4" t="s">
        <v>26</v>
      </c>
    </row>
    <row r="544" spans="1:14" ht="36" x14ac:dyDescent="0.25">
      <c r="A544" s="2" t="s">
        <v>2104</v>
      </c>
      <c r="B544" s="3" t="s">
        <v>2093</v>
      </c>
      <c r="C544" s="2" t="s">
        <v>656</v>
      </c>
      <c r="D544" s="3" t="s">
        <v>661</v>
      </c>
      <c r="E544" s="3" t="s">
        <v>1610</v>
      </c>
      <c r="F544" s="3" t="s">
        <v>290</v>
      </c>
      <c r="G544" s="4" t="s">
        <v>20</v>
      </c>
      <c r="H544" s="4" t="s">
        <v>1611</v>
      </c>
      <c r="I544" s="2" t="s">
        <v>2094</v>
      </c>
      <c r="J544" s="3" t="s">
        <v>2095</v>
      </c>
      <c r="K544" s="3" t="s">
        <v>274</v>
      </c>
      <c r="L544" s="3" t="s">
        <v>2096</v>
      </c>
      <c r="M544" s="4" t="s">
        <v>25</v>
      </c>
      <c r="N544" s="4" t="s">
        <v>26</v>
      </c>
    </row>
    <row r="545" spans="1:14" ht="36" x14ac:dyDescent="0.25">
      <c r="A545" s="2" t="s">
        <v>2105</v>
      </c>
      <c r="B545" s="3" t="s">
        <v>2106</v>
      </c>
      <c r="C545" s="2" t="s">
        <v>264</v>
      </c>
      <c r="D545" s="3" t="s">
        <v>265</v>
      </c>
      <c r="E545" s="3" t="s">
        <v>1610</v>
      </c>
      <c r="F545" s="3" t="s">
        <v>132</v>
      </c>
      <c r="G545" s="4" t="s">
        <v>20</v>
      </c>
      <c r="H545" s="4" t="s">
        <v>1611</v>
      </c>
      <c r="I545" s="2" t="s">
        <v>267</v>
      </c>
      <c r="J545" s="3" t="s">
        <v>268</v>
      </c>
      <c r="K545" s="3" t="s">
        <v>205</v>
      </c>
      <c r="L545" s="3" t="s">
        <v>2107</v>
      </c>
      <c r="M545" s="4" t="s">
        <v>34</v>
      </c>
      <c r="N545" s="4" t="s">
        <v>26</v>
      </c>
    </row>
    <row r="546" spans="1:14" ht="36" x14ac:dyDescent="0.25">
      <c r="A546" s="2" t="s">
        <v>2108</v>
      </c>
      <c r="B546" s="3" t="s">
        <v>2109</v>
      </c>
      <c r="C546" s="2" t="s">
        <v>272</v>
      </c>
      <c r="D546" s="3" t="s">
        <v>273</v>
      </c>
      <c r="E546" s="3" t="s">
        <v>1610</v>
      </c>
      <c r="F546" s="3" t="s">
        <v>274</v>
      </c>
      <c r="G546" s="4" t="s">
        <v>20</v>
      </c>
      <c r="H546" s="4" t="s">
        <v>1611</v>
      </c>
      <c r="I546" s="2" t="s">
        <v>275</v>
      </c>
      <c r="J546" s="3" t="s">
        <v>276</v>
      </c>
      <c r="K546" s="3" t="s">
        <v>274</v>
      </c>
      <c r="L546" s="3" t="s">
        <v>2110</v>
      </c>
      <c r="M546" s="4" t="s">
        <v>34</v>
      </c>
      <c r="N546" s="4" t="s">
        <v>26</v>
      </c>
    </row>
    <row r="547" spans="1:14" ht="48" x14ac:dyDescent="0.25">
      <c r="A547" s="2" t="s">
        <v>2111</v>
      </c>
      <c r="B547" s="3" t="s">
        <v>2112</v>
      </c>
      <c r="C547" s="2" t="s">
        <v>115</v>
      </c>
      <c r="D547" s="3" t="s">
        <v>116</v>
      </c>
      <c r="E547" s="3" t="s">
        <v>1610</v>
      </c>
      <c r="F547" s="3" t="s">
        <v>41</v>
      </c>
      <c r="G547" s="4" t="s">
        <v>20</v>
      </c>
      <c r="H547" s="4" t="s">
        <v>1611</v>
      </c>
      <c r="I547" s="2" t="s">
        <v>2113</v>
      </c>
      <c r="J547" s="3" t="s">
        <v>2114</v>
      </c>
      <c r="K547" s="3" t="s">
        <v>274</v>
      </c>
      <c r="L547" s="3" t="s">
        <v>2115</v>
      </c>
      <c r="M547" s="4" t="s">
        <v>25</v>
      </c>
      <c r="N547" s="4" t="s">
        <v>26</v>
      </c>
    </row>
    <row r="548" spans="1:14" ht="48" x14ac:dyDescent="0.25">
      <c r="A548" s="2" t="s">
        <v>2116</v>
      </c>
      <c r="B548" s="3" t="s">
        <v>2117</v>
      </c>
      <c r="C548" s="2" t="s">
        <v>230</v>
      </c>
      <c r="D548" s="3" t="s">
        <v>231</v>
      </c>
      <c r="E548" s="3" t="s">
        <v>1610</v>
      </c>
      <c r="F548" s="3" t="s">
        <v>41</v>
      </c>
      <c r="G548" s="4" t="s">
        <v>32</v>
      </c>
      <c r="H548" s="4" t="s">
        <v>1611</v>
      </c>
      <c r="I548" s="2" t="s">
        <v>2113</v>
      </c>
      <c r="J548" s="3" t="s">
        <v>2114</v>
      </c>
      <c r="K548" s="3" t="s">
        <v>274</v>
      </c>
      <c r="L548" s="3" t="s">
        <v>2118</v>
      </c>
      <c r="M548" s="4" t="s">
        <v>25</v>
      </c>
      <c r="N548" s="4" t="s">
        <v>26</v>
      </c>
    </row>
    <row r="549" spans="1:14" ht="48" x14ac:dyDescent="0.25">
      <c r="A549" s="2" t="s">
        <v>2119</v>
      </c>
      <c r="B549" s="3" t="s">
        <v>2120</v>
      </c>
      <c r="C549" s="2" t="s">
        <v>1156</v>
      </c>
      <c r="D549" s="3" t="s">
        <v>1157</v>
      </c>
      <c r="E549" s="3" t="s">
        <v>129</v>
      </c>
      <c r="F549" s="3" t="s">
        <v>164</v>
      </c>
      <c r="G549" s="4" t="s">
        <v>20</v>
      </c>
      <c r="H549" s="4" t="s">
        <v>20</v>
      </c>
      <c r="I549" s="2" t="s">
        <v>139</v>
      </c>
      <c r="J549" s="3" t="s">
        <v>140</v>
      </c>
      <c r="K549" s="3" t="s">
        <v>132</v>
      </c>
      <c r="L549" s="3" t="s">
        <v>2121</v>
      </c>
      <c r="M549" s="4" t="s">
        <v>34</v>
      </c>
      <c r="N549" s="4" t="s">
        <v>26</v>
      </c>
    </row>
    <row r="550" spans="1:14" ht="36" x14ac:dyDescent="0.25">
      <c r="A550" s="2" t="s">
        <v>2122</v>
      </c>
      <c r="B550" s="3" t="s">
        <v>2123</v>
      </c>
      <c r="C550" s="2" t="s">
        <v>66</v>
      </c>
      <c r="D550" s="3"/>
      <c r="E550" s="3" t="s">
        <v>1610</v>
      </c>
      <c r="F550" s="3"/>
      <c r="G550" s="4" t="s">
        <v>68</v>
      </c>
      <c r="H550" s="4" t="s">
        <v>1611</v>
      </c>
      <c r="I550" s="2" t="s">
        <v>238</v>
      </c>
      <c r="J550" s="3" t="s">
        <v>2124</v>
      </c>
      <c r="K550" s="3" t="s">
        <v>240</v>
      </c>
      <c r="L550" s="3" t="s">
        <v>2125</v>
      </c>
      <c r="M550" s="4" t="s">
        <v>25</v>
      </c>
      <c r="N550" s="4" t="s">
        <v>26</v>
      </c>
    </row>
    <row r="551" spans="1:14" ht="60" x14ac:dyDescent="0.25">
      <c r="A551" s="2" t="s">
        <v>2126</v>
      </c>
      <c r="B551" s="3" t="s">
        <v>2120</v>
      </c>
      <c r="C551" s="2" t="s">
        <v>1156</v>
      </c>
      <c r="D551" s="3" t="s">
        <v>1157</v>
      </c>
      <c r="E551" s="3" t="s">
        <v>1095</v>
      </c>
      <c r="F551" s="3" t="s">
        <v>164</v>
      </c>
      <c r="G551" s="4" t="s">
        <v>20</v>
      </c>
      <c r="H551" s="4" t="s">
        <v>32</v>
      </c>
      <c r="I551" s="2" t="s">
        <v>1142</v>
      </c>
      <c r="J551" s="3" t="s">
        <v>1144</v>
      </c>
      <c r="K551" s="3" t="s">
        <v>164</v>
      </c>
      <c r="L551" s="3" t="s">
        <v>1158</v>
      </c>
      <c r="M551" s="4" t="s">
        <v>25</v>
      </c>
      <c r="N551" s="4" t="s">
        <v>26</v>
      </c>
    </row>
    <row r="552" spans="1:14" ht="60" x14ac:dyDescent="0.25">
      <c r="A552" s="2" t="s">
        <v>2127</v>
      </c>
      <c r="B552" s="3" t="s">
        <v>2128</v>
      </c>
      <c r="C552" s="2" t="s">
        <v>834</v>
      </c>
      <c r="D552" s="3" t="s">
        <v>835</v>
      </c>
      <c r="E552" s="3" t="s">
        <v>1610</v>
      </c>
      <c r="F552" s="3" t="s">
        <v>499</v>
      </c>
      <c r="G552" s="4" t="s">
        <v>20</v>
      </c>
      <c r="H552" s="4" t="s">
        <v>1611</v>
      </c>
      <c r="I552" s="4" t="str">
        <f>INDEX(Neuanlagen!$C$6:$C$90,MATCH($A552,Neuanlagen!$A$6:$A$90,0))</f>
        <v>41811090</v>
      </c>
      <c r="J552" s="3" t="str">
        <f>INDEX(Neuanlagen!$D$6:$D$90,MATCH($A552,Neuanlagen!$A$6:$A$90,0))</f>
        <v>Sonderleistungen Enteisung</v>
      </c>
      <c r="K552" s="3" t="s">
        <v>769</v>
      </c>
      <c r="L552" s="3" t="s">
        <v>2129</v>
      </c>
      <c r="M552" s="4" t="s">
        <v>34</v>
      </c>
      <c r="N552" s="4" t="s">
        <v>771</v>
      </c>
    </row>
    <row r="553" spans="1:14" ht="48" x14ac:dyDescent="0.25">
      <c r="A553" s="2" t="s">
        <v>2130</v>
      </c>
      <c r="B553" s="3" t="s">
        <v>2131</v>
      </c>
      <c r="C553" s="2" t="s">
        <v>66</v>
      </c>
      <c r="D553" s="3"/>
      <c r="E553" s="3" t="s">
        <v>1610</v>
      </c>
      <c r="F553" s="3"/>
      <c r="G553" s="4" t="s">
        <v>68</v>
      </c>
      <c r="H553" s="4" t="s">
        <v>1611</v>
      </c>
      <c r="I553" s="4" t="str">
        <f>INDEX(Neuanlagen!$C$6:$C$90,MATCH($A553,Neuanlagen!$A$6:$A$90,0))</f>
        <v>41811120</v>
      </c>
      <c r="J553" s="3" t="str">
        <f>INDEX(Neuanlagen!$D$6:$D$90,MATCH($A553,Neuanlagen!$A$6:$A$90,0))</f>
        <v>Sonderleistungen Personentransporte</v>
      </c>
      <c r="K553" s="3" t="s">
        <v>769</v>
      </c>
      <c r="L553" s="3" t="s">
        <v>2132</v>
      </c>
      <c r="M553" s="4" t="s">
        <v>34</v>
      </c>
      <c r="N553" s="4" t="s">
        <v>771</v>
      </c>
    </row>
    <row r="554" spans="1:14" ht="48" x14ac:dyDescent="0.25">
      <c r="A554" s="2" t="s">
        <v>2133</v>
      </c>
      <c r="B554" s="3" t="s">
        <v>2134</v>
      </c>
      <c r="C554" s="2" t="s">
        <v>66</v>
      </c>
      <c r="D554" s="3"/>
      <c r="E554" s="3" t="s">
        <v>1610</v>
      </c>
      <c r="F554" s="3"/>
      <c r="G554" s="4" t="s">
        <v>68</v>
      </c>
      <c r="H554" s="4" t="s">
        <v>1611</v>
      </c>
      <c r="I554" s="4" t="str">
        <f>INDEX(Neuanlagen!$C$6:$C$90,MATCH($A554,Neuanlagen!$A$6:$A$90,0))</f>
        <v>41811121</v>
      </c>
      <c r="J554" s="3" t="str">
        <f>INDEX(Neuanlagen!$D$6:$D$90,MATCH($A554,Neuanlagen!$A$6:$A$90,0))</f>
        <v>Sonderleistungen Crew-Transporte</v>
      </c>
      <c r="K554" s="3" t="s">
        <v>769</v>
      </c>
      <c r="L554" s="3" t="s">
        <v>2132</v>
      </c>
      <c r="M554" s="4" t="s">
        <v>34</v>
      </c>
      <c r="N554" s="4" t="s">
        <v>771</v>
      </c>
    </row>
    <row r="555" spans="1:14" ht="48" x14ac:dyDescent="0.25">
      <c r="A555" s="2" t="s">
        <v>2135</v>
      </c>
      <c r="B555" s="3" t="s">
        <v>2136</v>
      </c>
      <c r="C555" s="2" t="s">
        <v>827</v>
      </c>
      <c r="D555" s="3" t="s">
        <v>828</v>
      </c>
      <c r="E555" s="3" t="s">
        <v>1610</v>
      </c>
      <c r="F555" s="3" t="s">
        <v>499</v>
      </c>
      <c r="G555" s="4" t="s">
        <v>20</v>
      </c>
      <c r="H555" s="4" t="s">
        <v>1611</v>
      </c>
      <c r="I555" s="4" t="str">
        <f>INDEX(Neuanlagen!$C$6:$C$90,MATCH($A555,Neuanlagen!$A$6:$A$90,0))</f>
        <v>41820004</v>
      </c>
      <c r="J555" s="3" t="str">
        <f>INDEX(Neuanlagen!$D$6:$D$90,MATCH($A555,Neuanlagen!$A$6:$A$90,0))</f>
        <v>Dienstleistungen ZI Basisentgelt FDG</v>
      </c>
      <c r="K555" s="3" t="s">
        <v>769</v>
      </c>
      <c r="L555" s="3" t="s">
        <v>2137</v>
      </c>
      <c r="M555" s="4" t="s">
        <v>25</v>
      </c>
      <c r="N555" s="4" t="s">
        <v>771</v>
      </c>
    </row>
    <row r="556" spans="1:14" ht="48" x14ac:dyDescent="0.25">
      <c r="A556" s="2" t="s">
        <v>2138</v>
      </c>
      <c r="B556" s="3" t="s">
        <v>2139</v>
      </c>
      <c r="C556" s="2" t="s">
        <v>834</v>
      </c>
      <c r="D556" s="3" t="s">
        <v>835</v>
      </c>
      <c r="E556" s="3" t="s">
        <v>1610</v>
      </c>
      <c r="F556" s="3" t="s">
        <v>499</v>
      </c>
      <c r="G556" s="4" t="s">
        <v>20</v>
      </c>
      <c r="H556" s="4" t="s">
        <v>1611</v>
      </c>
      <c r="I556" s="4" t="str">
        <f>INDEX(Neuanlagen!$C$6:$C$90,MATCH($A556,Neuanlagen!$A$6:$A$90,0))</f>
        <v>41860000</v>
      </c>
      <c r="J556" s="3" t="str">
        <f>INDEX(Neuanlagen!$D$6:$D$90,MATCH($A556,Neuanlagen!$A$6:$A$90,0))</f>
        <v>Erlöse aus Ersatzverkehr SkyTrain</v>
      </c>
      <c r="K556" s="3" t="s">
        <v>769</v>
      </c>
      <c r="L556" s="3" t="s">
        <v>2140</v>
      </c>
      <c r="M556" s="4" t="s">
        <v>34</v>
      </c>
      <c r="N556" s="4" t="s">
        <v>771</v>
      </c>
    </row>
    <row r="557" spans="1:14" ht="36" x14ac:dyDescent="0.25">
      <c r="A557" s="2" t="s">
        <v>2141</v>
      </c>
      <c r="B557" s="3" t="s">
        <v>2142</v>
      </c>
      <c r="C557" s="2" t="s">
        <v>66</v>
      </c>
      <c r="D557" s="3"/>
      <c r="E557" s="3" t="s">
        <v>1610</v>
      </c>
      <c r="F557" s="3"/>
      <c r="G557" s="4" t="s">
        <v>68</v>
      </c>
      <c r="H557" s="4" t="s">
        <v>1611</v>
      </c>
      <c r="I557" s="2" t="s">
        <v>1255</v>
      </c>
      <c r="J557" s="3" t="s">
        <v>1256</v>
      </c>
      <c r="K557" s="3" t="s">
        <v>1257</v>
      </c>
      <c r="L557" s="3" t="s">
        <v>2143</v>
      </c>
      <c r="M557" s="4" t="s">
        <v>25</v>
      </c>
      <c r="N557" s="4" t="s">
        <v>26</v>
      </c>
    </row>
    <row r="558" spans="1:14" ht="36" x14ac:dyDescent="0.25">
      <c r="A558" s="2" t="s">
        <v>2144</v>
      </c>
      <c r="B558" s="3" t="s">
        <v>2145</v>
      </c>
      <c r="C558" s="2" t="s">
        <v>66</v>
      </c>
      <c r="D558" s="3"/>
      <c r="E558" s="3" t="s">
        <v>1610</v>
      </c>
      <c r="F558" s="3"/>
      <c r="G558" s="4" t="s">
        <v>68</v>
      </c>
      <c r="H558" s="4" t="s">
        <v>1611</v>
      </c>
      <c r="I558" s="2" t="s">
        <v>1677</v>
      </c>
      <c r="J558" s="3" t="s">
        <v>1797</v>
      </c>
      <c r="K558" s="3" t="s">
        <v>171</v>
      </c>
      <c r="L558" s="3" t="s">
        <v>2146</v>
      </c>
      <c r="M558" s="4" t="s">
        <v>25</v>
      </c>
      <c r="N558" s="4" t="s">
        <v>26</v>
      </c>
    </row>
    <row r="559" spans="1:14" ht="36" x14ac:dyDescent="0.25">
      <c r="A559" s="2" t="s">
        <v>2147</v>
      </c>
      <c r="B559" s="3" t="s">
        <v>2148</v>
      </c>
      <c r="C559" s="2" t="s">
        <v>66</v>
      </c>
      <c r="D559" s="3"/>
      <c r="E559" s="3" t="s">
        <v>1610</v>
      </c>
      <c r="F559" s="3"/>
      <c r="G559" s="4" t="s">
        <v>68</v>
      </c>
      <c r="H559" s="4" t="s">
        <v>1611</v>
      </c>
      <c r="I559" s="2" t="s">
        <v>1677</v>
      </c>
      <c r="J559" s="3" t="s">
        <v>1797</v>
      </c>
      <c r="K559" s="3" t="s">
        <v>171</v>
      </c>
      <c r="L559" s="3" t="s">
        <v>2146</v>
      </c>
      <c r="M559" s="4" t="s">
        <v>25</v>
      </c>
      <c r="N559" s="4" t="s">
        <v>26</v>
      </c>
    </row>
    <row r="560" spans="1:14" ht="36" x14ac:dyDescent="0.25">
      <c r="A560" s="2" t="s">
        <v>2149</v>
      </c>
      <c r="B560" s="3" t="s">
        <v>2150</v>
      </c>
      <c r="C560" s="2" t="s">
        <v>66</v>
      </c>
      <c r="D560" s="3"/>
      <c r="E560" s="3" t="s">
        <v>1610</v>
      </c>
      <c r="F560" s="3"/>
      <c r="G560" s="4" t="s">
        <v>68</v>
      </c>
      <c r="H560" s="4" t="s">
        <v>1611</v>
      </c>
      <c r="I560" s="2" t="s">
        <v>1677</v>
      </c>
      <c r="J560" s="3" t="s">
        <v>1797</v>
      </c>
      <c r="K560" s="3" t="s">
        <v>171</v>
      </c>
      <c r="L560" s="3" t="s">
        <v>2146</v>
      </c>
      <c r="M560" s="4" t="s">
        <v>25</v>
      </c>
      <c r="N560" s="4" t="s">
        <v>26</v>
      </c>
    </row>
    <row r="561" spans="1:14" ht="36" x14ac:dyDescent="0.25">
      <c r="A561" s="2" t="s">
        <v>2151</v>
      </c>
      <c r="B561" s="3" t="s">
        <v>2152</v>
      </c>
      <c r="C561" s="2" t="s">
        <v>2153</v>
      </c>
      <c r="D561" s="3" t="s">
        <v>2154</v>
      </c>
      <c r="E561" s="3" t="s">
        <v>1610</v>
      </c>
      <c r="F561" s="3" t="s">
        <v>41</v>
      </c>
      <c r="G561" s="4" t="s">
        <v>20</v>
      </c>
      <c r="H561" s="4" t="s">
        <v>1611</v>
      </c>
      <c r="I561" s="2" t="s">
        <v>1255</v>
      </c>
      <c r="J561" s="3" t="s">
        <v>1256</v>
      </c>
      <c r="K561" s="3" t="s">
        <v>1257</v>
      </c>
      <c r="L561" s="3" t="s">
        <v>2155</v>
      </c>
      <c r="M561" s="4" t="s">
        <v>25</v>
      </c>
      <c r="N561" s="4" t="s">
        <v>26</v>
      </c>
    </row>
    <row r="562" spans="1:14" ht="36" x14ac:dyDescent="0.25">
      <c r="A562" s="2" t="s">
        <v>2156</v>
      </c>
      <c r="B562" s="3" t="s">
        <v>2157</v>
      </c>
      <c r="C562" s="2" t="s">
        <v>2158</v>
      </c>
      <c r="D562" s="3" t="s">
        <v>2159</v>
      </c>
      <c r="E562" s="3" t="s">
        <v>1610</v>
      </c>
      <c r="F562" s="3" t="s">
        <v>171</v>
      </c>
      <c r="G562" s="4" t="s">
        <v>20</v>
      </c>
      <c r="H562" s="4" t="s">
        <v>1611</v>
      </c>
      <c r="I562" s="2" t="s">
        <v>1626</v>
      </c>
      <c r="J562" s="3" t="s">
        <v>1627</v>
      </c>
      <c r="K562" s="3" t="s">
        <v>594</v>
      </c>
      <c r="L562" s="3" t="s">
        <v>2160</v>
      </c>
      <c r="M562" s="4" t="s">
        <v>25</v>
      </c>
      <c r="N562" s="4" t="s">
        <v>26</v>
      </c>
    </row>
    <row r="563" spans="1:14" ht="48" x14ac:dyDescent="0.25">
      <c r="A563" s="2" t="s">
        <v>2161</v>
      </c>
      <c r="B563" s="3" t="s">
        <v>2162</v>
      </c>
      <c r="C563" s="2" t="s">
        <v>66</v>
      </c>
      <c r="D563" s="3"/>
      <c r="E563" s="3" t="s">
        <v>1610</v>
      </c>
      <c r="F563" s="3"/>
      <c r="G563" s="4" t="s">
        <v>68</v>
      </c>
      <c r="H563" s="4" t="s">
        <v>1611</v>
      </c>
      <c r="I563" s="2" t="s">
        <v>1340</v>
      </c>
      <c r="J563" s="3" t="s">
        <v>1341</v>
      </c>
      <c r="K563" s="3" t="s">
        <v>1316</v>
      </c>
      <c r="L563" s="3" t="s">
        <v>2163</v>
      </c>
      <c r="M563" s="4" t="s">
        <v>25</v>
      </c>
      <c r="N563" s="4" t="s">
        <v>26</v>
      </c>
    </row>
    <row r="564" spans="1:14" ht="48" x14ac:dyDescent="0.25">
      <c r="A564" s="2" t="s">
        <v>2164</v>
      </c>
      <c r="B564" s="3" t="s">
        <v>2165</v>
      </c>
      <c r="C564" s="2" t="s">
        <v>1345</v>
      </c>
      <c r="D564" s="3" t="s">
        <v>1346</v>
      </c>
      <c r="E564" s="3" t="s">
        <v>1610</v>
      </c>
      <c r="F564" s="3" t="s">
        <v>171</v>
      </c>
      <c r="G564" s="4" t="s">
        <v>20</v>
      </c>
      <c r="H564" s="4" t="s">
        <v>1611</v>
      </c>
      <c r="I564" s="2" t="s">
        <v>1340</v>
      </c>
      <c r="J564" s="3" t="s">
        <v>1341</v>
      </c>
      <c r="K564" s="3" t="s">
        <v>1316</v>
      </c>
      <c r="L564" s="3" t="s">
        <v>2166</v>
      </c>
      <c r="M564" s="4" t="s">
        <v>25</v>
      </c>
      <c r="N564" s="4" t="s">
        <v>26</v>
      </c>
    </row>
    <row r="565" spans="1:14" ht="36" x14ac:dyDescent="0.25">
      <c r="A565" s="2" t="s">
        <v>2167</v>
      </c>
      <c r="B565" s="3" t="s">
        <v>2168</v>
      </c>
      <c r="C565" s="2" t="s">
        <v>66</v>
      </c>
      <c r="D565" s="3"/>
      <c r="E565" s="3" t="s">
        <v>1610</v>
      </c>
      <c r="F565" s="3"/>
      <c r="G565" s="4" t="s">
        <v>68</v>
      </c>
      <c r="H565" s="4" t="s">
        <v>1611</v>
      </c>
      <c r="I565" s="2" t="s">
        <v>1392</v>
      </c>
      <c r="J565" s="3" t="s">
        <v>1398</v>
      </c>
      <c r="K565" s="3" t="s">
        <v>1239</v>
      </c>
      <c r="L565" s="3" t="s">
        <v>2169</v>
      </c>
      <c r="M565" s="4" t="s">
        <v>25</v>
      </c>
      <c r="N565" s="4" t="s">
        <v>26</v>
      </c>
    </row>
    <row r="566" spans="1:14" ht="36" x14ac:dyDescent="0.25">
      <c r="A566" s="2" t="s">
        <v>2170</v>
      </c>
      <c r="B566" s="3" t="s">
        <v>2171</v>
      </c>
      <c r="C566" s="2" t="s">
        <v>1338</v>
      </c>
      <c r="D566" s="3" t="s">
        <v>1339</v>
      </c>
      <c r="E566" s="3" t="s">
        <v>1610</v>
      </c>
      <c r="F566" s="3" t="s">
        <v>171</v>
      </c>
      <c r="G566" s="4" t="s">
        <v>20</v>
      </c>
      <c r="H566" s="4" t="s">
        <v>1611</v>
      </c>
      <c r="I566" s="2" t="s">
        <v>1392</v>
      </c>
      <c r="J566" s="3" t="s">
        <v>1398</v>
      </c>
      <c r="K566" s="3" t="s">
        <v>1239</v>
      </c>
      <c r="L566" s="3" t="s">
        <v>2172</v>
      </c>
      <c r="M566" s="4" t="s">
        <v>25</v>
      </c>
      <c r="N566" s="4" t="s">
        <v>26</v>
      </c>
    </row>
    <row r="567" spans="1:14" ht="36" x14ac:dyDescent="0.25">
      <c r="A567" s="2" t="s">
        <v>2173</v>
      </c>
      <c r="B567" s="3" t="s">
        <v>2174</v>
      </c>
      <c r="C567" s="2" t="s">
        <v>1392</v>
      </c>
      <c r="D567" s="3" t="s">
        <v>1393</v>
      </c>
      <c r="E567" s="3" t="s">
        <v>1610</v>
      </c>
      <c r="F567" s="3" t="s">
        <v>1239</v>
      </c>
      <c r="G567" s="4" t="s">
        <v>32</v>
      </c>
      <c r="H567" s="4" t="s">
        <v>1611</v>
      </c>
      <c r="I567" s="2" t="s">
        <v>1392</v>
      </c>
      <c r="J567" s="3" t="s">
        <v>1398</v>
      </c>
      <c r="K567" s="3" t="s">
        <v>1239</v>
      </c>
      <c r="L567" s="3" t="s">
        <v>2175</v>
      </c>
      <c r="M567" s="4" t="s">
        <v>25</v>
      </c>
      <c r="N567" s="4" t="s">
        <v>63</v>
      </c>
    </row>
    <row r="568" spans="1:14" ht="36" x14ac:dyDescent="0.25">
      <c r="A568" s="2" t="s">
        <v>2176</v>
      </c>
      <c r="B568" s="3" t="s">
        <v>2177</v>
      </c>
      <c r="C568" s="2" t="s">
        <v>146</v>
      </c>
      <c r="D568" s="3" t="s">
        <v>147</v>
      </c>
      <c r="E568" s="3" t="s">
        <v>1610</v>
      </c>
      <c r="F568" s="3" t="s">
        <v>148</v>
      </c>
      <c r="G568" s="4" t="s">
        <v>20</v>
      </c>
      <c r="H568" s="4" t="s">
        <v>1611</v>
      </c>
      <c r="I568" s="2" t="s">
        <v>1452</v>
      </c>
      <c r="J568" s="3" t="s">
        <v>1453</v>
      </c>
      <c r="K568" s="3" t="s">
        <v>171</v>
      </c>
      <c r="L568" s="3" t="s">
        <v>2178</v>
      </c>
      <c r="M568" s="4" t="s">
        <v>25</v>
      </c>
      <c r="N568" s="4" t="s">
        <v>26</v>
      </c>
    </row>
    <row r="569" spans="1:14" ht="36" x14ac:dyDescent="0.25">
      <c r="A569" s="2" t="s">
        <v>2179</v>
      </c>
      <c r="B569" s="3" t="s">
        <v>2180</v>
      </c>
      <c r="C569" s="2" t="s">
        <v>1545</v>
      </c>
      <c r="D569" s="3" t="s">
        <v>1546</v>
      </c>
      <c r="E569" s="3" t="s">
        <v>1610</v>
      </c>
      <c r="F569" s="3" t="s">
        <v>138</v>
      </c>
      <c r="G569" s="4" t="s">
        <v>20</v>
      </c>
      <c r="H569" s="4" t="s">
        <v>1611</v>
      </c>
      <c r="I569" s="2" t="s">
        <v>1452</v>
      </c>
      <c r="J569" s="3" t="s">
        <v>1453</v>
      </c>
      <c r="K569" s="3" t="s">
        <v>171</v>
      </c>
      <c r="L569" s="3" t="s">
        <v>2181</v>
      </c>
      <c r="M569" s="4" t="s">
        <v>25</v>
      </c>
      <c r="N569" s="4" t="s">
        <v>26</v>
      </c>
    </row>
    <row r="570" spans="1:14" ht="36" x14ac:dyDescent="0.25">
      <c r="A570" s="2" t="s">
        <v>2182</v>
      </c>
      <c r="B570" s="3" t="s">
        <v>2183</v>
      </c>
      <c r="C570" s="2" t="s">
        <v>1237</v>
      </c>
      <c r="D570" s="3" t="s">
        <v>1238</v>
      </c>
      <c r="E570" s="3" t="s">
        <v>1610</v>
      </c>
      <c r="F570" s="3" t="s">
        <v>1239</v>
      </c>
      <c r="G570" s="4" t="s">
        <v>20</v>
      </c>
      <c r="H570" s="4" t="s">
        <v>1611</v>
      </c>
      <c r="I570" s="2" t="s">
        <v>136</v>
      </c>
      <c r="J570" s="3" t="s">
        <v>1765</v>
      </c>
      <c r="K570" s="3" t="s">
        <v>138</v>
      </c>
      <c r="L570" s="3" t="s">
        <v>2184</v>
      </c>
      <c r="M570" s="4" t="s">
        <v>25</v>
      </c>
      <c r="N570" s="4" t="s">
        <v>26</v>
      </c>
    </row>
    <row r="571" spans="1:14" ht="36" x14ac:dyDescent="0.25">
      <c r="A571" s="2" t="s">
        <v>2185</v>
      </c>
      <c r="B571" s="3" t="s">
        <v>2186</v>
      </c>
      <c r="C571" s="2" t="s">
        <v>66</v>
      </c>
      <c r="D571" s="3"/>
      <c r="E571" s="3" t="s">
        <v>1610</v>
      </c>
      <c r="F571" s="3"/>
      <c r="G571" s="4" t="s">
        <v>68</v>
      </c>
      <c r="H571" s="4" t="s">
        <v>1611</v>
      </c>
      <c r="I571" s="2" t="s">
        <v>1255</v>
      </c>
      <c r="J571" s="3" t="s">
        <v>1256</v>
      </c>
      <c r="K571" s="3" t="s">
        <v>1257</v>
      </c>
      <c r="L571" s="3" t="s">
        <v>2143</v>
      </c>
      <c r="M571" s="4" t="s">
        <v>25</v>
      </c>
      <c r="N571" s="4" t="s">
        <v>26</v>
      </c>
    </row>
    <row r="572" spans="1:14" ht="60" x14ac:dyDescent="0.25">
      <c r="A572" s="2" t="s">
        <v>2187</v>
      </c>
      <c r="B572" s="3" t="s">
        <v>2188</v>
      </c>
      <c r="C572" s="2" t="s">
        <v>288</v>
      </c>
      <c r="D572" s="3" t="s">
        <v>289</v>
      </c>
      <c r="E572" s="3" t="s">
        <v>1610</v>
      </c>
      <c r="F572" s="3" t="s">
        <v>290</v>
      </c>
      <c r="G572" s="4" t="s">
        <v>20</v>
      </c>
      <c r="H572" s="4" t="s">
        <v>1611</v>
      </c>
      <c r="I572" s="2" t="s">
        <v>2113</v>
      </c>
      <c r="J572" s="3" t="s">
        <v>2114</v>
      </c>
      <c r="K572" s="3" t="s">
        <v>274</v>
      </c>
      <c r="L572" s="3" t="s">
        <v>2189</v>
      </c>
      <c r="M572" s="4" t="s">
        <v>25</v>
      </c>
      <c r="N572" s="4" t="s">
        <v>26</v>
      </c>
    </row>
    <row r="573" spans="1:14" ht="60" x14ac:dyDescent="0.25">
      <c r="A573" s="2" t="s">
        <v>2190</v>
      </c>
      <c r="B573" s="3" t="s">
        <v>2191</v>
      </c>
      <c r="C573" s="2" t="s">
        <v>834</v>
      </c>
      <c r="D573" s="3" t="s">
        <v>835</v>
      </c>
      <c r="E573" s="3" t="s">
        <v>1610</v>
      </c>
      <c r="F573" s="3" t="s">
        <v>499</v>
      </c>
      <c r="G573" s="4" t="s">
        <v>20</v>
      </c>
      <c r="H573" s="4" t="s">
        <v>1611</v>
      </c>
      <c r="I573" s="4" t="str">
        <f>INDEX(Neuanlagen!$C$6:$C$90,MATCH($A573,Neuanlagen!$A$6:$A$90,0))</f>
        <v>41841300</v>
      </c>
      <c r="J573" s="3" t="str">
        <f>INDEX(Neuanlagen!$D$6:$D$90,MATCH($A573,Neuanlagen!$A$6:$A$90,0))</f>
        <v>Erlöse aus Kälteerzeugung/Klimatisierung</v>
      </c>
      <c r="K573" s="3" t="s">
        <v>769</v>
      </c>
      <c r="L573" s="3" t="s">
        <v>2192</v>
      </c>
      <c r="M573" s="4" t="s">
        <v>34</v>
      </c>
      <c r="N573" s="4" t="s">
        <v>771</v>
      </c>
    </row>
    <row r="574" spans="1:14" ht="60" x14ac:dyDescent="0.25">
      <c r="A574" s="2" t="s">
        <v>2193</v>
      </c>
      <c r="B574" s="3" t="s">
        <v>2194</v>
      </c>
      <c r="C574" s="2" t="s">
        <v>834</v>
      </c>
      <c r="D574" s="3" t="s">
        <v>835</v>
      </c>
      <c r="E574" s="3" t="s">
        <v>1610</v>
      </c>
      <c r="F574" s="3" t="s">
        <v>499</v>
      </c>
      <c r="G574" s="4" t="s">
        <v>20</v>
      </c>
      <c r="H574" s="4" t="s">
        <v>1611</v>
      </c>
      <c r="I574" s="4" t="str">
        <f>INDEX(Neuanlagen!$C$6:$C$90,MATCH($A574,Neuanlagen!$A$6:$A$90,0))</f>
        <v>41841400</v>
      </c>
      <c r="J574" s="3" t="str">
        <f>INDEX(Neuanlagen!$D$6:$D$90,MATCH($A574,Neuanlagen!$A$6:$A$90,0))</f>
        <v>Erlöse aus Verteilung Wärme+Kälte / Klimatisierung</v>
      </c>
      <c r="K574" s="3" t="s">
        <v>769</v>
      </c>
      <c r="L574" s="3" t="s">
        <v>2192</v>
      </c>
      <c r="M574" s="4" t="s">
        <v>34</v>
      </c>
      <c r="N574" s="4" t="s">
        <v>771</v>
      </c>
    </row>
    <row r="575" spans="1:14" ht="24" x14ac:dyDescent="0.25">
      <c r="A575" s="2" t="s">
        <v>2195</v>
      </c>
      <c r="B575" s="3" t="s">
        <v>2196</v>
      </c>
      <c r="C575" s="2" t="s">
        <v>66</v>
      </c>
      <c r="D575" s="3"/>
      <c r="E575" s="3" t="s">
        <v>1610</v>
      </c>
      <c r="F575" s="3"/>
      <c r="G575" s="4" t="s">
        <v>68</v>
      </c>
      <c r="H575" s="4" t="s">
        <v>1611</v>
      </c>
      <c r="I575" s="2"/>
      <c r="J575" s="3"/>
      <c r="K575" s="3"/>
      <c r="L575" s="3" t="s">
        <v>2197</v>
      </c>
      <c r="M575" s="4" t="s">
        <v>234</v>
      </c>
      <c r="N575" s="4" t="s">
        <v>235</v>
      </c>
    </row>
    <row r="576" spans="1:14" ht="36" x14ac:dyDescent="0.25">
      <c r="A576" s="2" t="s">
        <v>2198</v>
      </c>
      <c r="B576" s="3" t="s">
        <v>2199</v>
      </c>
      <c r="C576" s="2" t="s">
        <v>1215</v>
      </c>
      <c r="D576" s="3" t="s">
        <v>1216</v>
      </c>
      <c r="E576" s="3" t="s">
        <v>1610</v>
      </c>
      <c r="F576" s="3" t="s">
        <v>1218</v>
      </c>
      <c r="G576" s="4" t="s">
        <v>32</v>
      </c>
      <c r="H576" s="4" t="s">
        <v>1611</v>
      </c>
      <c r="I576" s="2" t="s">
        <v>1215</v>
      </c>
      <c r="J576" s="3" t="s">
        <v>1219</v>
      </c>
      <c r="K576" s="3" t="s">
        <v>1218</v>
      </c>
      <c r="L576" s="3" t="s">
        <v>2200</v>
      </c>
      <c r="M576" s="4" t="s">
        <v>25</v>
      </c>
      <c r="N576" s="4" t="s">
        <v>63</v>
      </c>
    </row>
    <row r="577" spans="1:14" ht="36" x14ac:dyDescent="0.25">
      <c r="A577" s="2" t="s">
        <v>2201</v>
      </c>
      <c r="B577" s="3" t="s">
        <v>2202</v>
      </c>
      <c r="C577" s="2" t="s">
        <v>66</v>
      </c>
      <c r="D577" s="3"/>
      <c r="E577" s="3" t="s">
        <v>1610</v>
      </c>
      <c r="F577" s="3"/>
      <c r="G577" s="4" t="s">
        <v>68</v>
      </c>
      <c r="H577" s="4" t="s">
        <v>1611</v>
      </c>
      <c r="I577" s="2" t="s">
        <v>1255</v>
      </c>
      <c r="J577" s="3" t="s">
        <v>1256</v>
      </c>
      <c r="K577" s="3" t="s">
        <v>1257</v>
      </c>
      <c r="L577" s="3" t="s">
        <v>2143</v>
      </c>
      <c r="M577" s="4" t="s">
        <v>25</v>
      </c>
      <c r="N577" s="4" t="s">
        <v>26</v>
      </c>
    </row>
    <row r="578" spans="1:14" ht="36" x14ac:dyDescent="0.25">
      <c r="A578" s="2" t="s">
        <v>2203</v>
      </c>
      <c r="B578" s="3" t="s">
        <v>2204</v>
      </c>
      <c r="C578" s="2" t="s">
        <v>2205</v>
      </c>
      <c r="D578" s="3" t="s">
        <v>2206</v>
      </c>
      <c r="E578" s="3" t="s">
        <v>1610</v>
      </c>
      <c r="F578" s="3" t="s">
        <v>164</v>
      </c>
      <c r="G578" s="4" t="s">
        <v>20</v>
      </c>
      <c r="H578" s="4" t="s">
        <v>1611</v>
      </c>
      <c r="I578" s="2" t="s">
        <v>1296</v>
      </c>
      <c r="J578" s="3" t="s">
        <v>1297</v>
      </c>
      <c r="K578" s="3" t="s">
        <v>594</v>
      </c>
      <c r="L578" s="3" t="s">
        <v>2207</v>
      </c>
      <c r="M578" s="4" t="s">
        <v>25</v>
      </c>
      <c r="N578" s="4" t="s">
        <v>26</v>
      </c>
    </row>
    <row r="579" spans="1:14" ht="36" x14ac:dyDescent="0.25">
      <c r="A579" s="2" t="s">
        <v>2208</v>
      </c>
      <c r="B579" s="3" t="s">
        <v>2209</v>
      </c>
      <c r="C579" s="2" t="s">
        <v>66</v>
      </c>
      <c r="D579" s="3"/>
      <c r="E579" s="3" t="s">
        <v>1610</v>
      </c>
      <c r="F579" s="3"/>
      <c r="G579" s="4" t="s">
        <v>68</v>
      </c>
      <c r="H579" s="4" t="s">
        <v>1611</v>
      </c>
      <c r="I579" s="2"/>
      <c r="J579" s="3"/>
      <c r="K579" s="3"/>
      <c r="L579" s="3" t="s">
        <v>2210</v>
      </c>
      <c r="M579" s="4" t="s">
        <v>34</v>
      </c>
      <c r="N579" s="4" t="s">
        <v>35</v>
      </c>
    </row>
    <row r="580" spans="1:14" ht="48" x14ac:dyDescent="0.25">
      <c r="A580" s="2" t="s">
        <v>2211</v>
      </c>
      <c r="B580" s="3" t="s">
        <v>2212</v>
      </c>
      <c r="C580" s="2" t="s">
        <v>264</v>
      </c>
      <c r="D580" s="3" t="s">
        <v>265</v>
      </c>
      <c r="E580" s="3" t="s">
        <v>1610</v>
      </c>
      <c r="F580" s="3" t="s">
        <v>132</v>
      </c>
      <c r="G580" s="4" t="s">
        <v>20</v>
      </c>
      <c r="H580" s="4" t="s">
        <v>1611</v>
      </c>
      <c r="I580" s="2" t="s">
        <v>350</v>
      </c>
      <c r="J580" s="3" t="s">
        <v>351</v>
      </c>
      <c r="K580" s="3" t="s">
        <v>260</v>
      </c>
      <c r="L580" s="3" t="s">
        <v>2213</v>
      </c>
      <c r="M580" s="4" t="s">
        <v>34</v>
      </c>
      <c r="N580" s="4" t="s">
        <v>26</v>
      </c>
    </row>
    <row r="581" spans="1:14" ht="36" x14ac:dyDescent="0.25">
      <c r="A581" s="2" t="s">
        <v>2214</v>
      </c>
      <c r="B581" s="3" t="s">
        <v>2215</v>
      </c>
      <c r="C581" s="2" t="s">
        <v>392</v>
      </c>
      <c r="D581" s="3" t="s">
        <v>2083</v>
      </c>
      <c r="E581" s="3" t="s">
        <v>1610</v>
      </c>
      <c r="F581" s="3" t="s">
        <v>240</v>
      </c>
      <c r="G581" s="4" t="s">
        <v>32</v>
      </c>
      <c r="H581" s="4" t="s">
        <v>1611</v>
      </c>
      <c r="I581" s="2" t="s">
        <v>392</v>
      </c>
      <c r="J581" s="3" t="s">
        <v>395</v>
      </c>
      <c r="K581" s="3" t="s">
        <v>240</v>
      </c>
      <c r="L581" s="3" t="s">
        <v>2084</v>
      </c>
      <c r="M581" s="4" t="s">
        <v>34</v>
      </c>
      <c r="N581" s="4" t="s">
        <v>63</v>
      </c>
    </row>
    <row r="582" spans="1:14" ht="60" x14ac:dyDescent="0.25">
      <c r="A582" s="2" t="s">
        <v>2216</v>
      </c>
      <c r="B582" s="3" t="s">
        <v>2217</v>
      </c>
      <c r="C582" s="2" t="s">
        <v>1881</v>
      </c>
      <c r="D582" s="3" t="s">
        <v>1882</v>
      </c>
      <c r="E582" s="3" t="s">
        <v>507</v>
      </c>
      <c r="F582" s="3" t="s">
        <v>1424</v>
      </c>
      <c r="G582" s="4" t="s">
        <v>20</v>
      </c>
      <c r="H582" s="4" t="s">
        <v>20</v>
      </c>
      <c r="I582" s="2" t="s">
        <v>2026</v>
      </c>
      <c r="J582" s="3" t="s">
        <v>2027</v>
      </c>
      <c r="K582" s="3" t="s">
        <v>499</v>
      </c>
      <c r="L582" s="3" t="s">
        <v>2028</v>
      </c>
      <c r="M582" s="4" t="s">
        <v>234</v>
      </c>
      <c r="N582" s="4" t="s">
        <v>235</v>
      </c>
    </row>
    <row r="583" spans="1:14" ht="48" x14ac:dyDescent="0.25">
      <c r="A583" s="2" t="s">
        <v>2218</v>
      </c>
      <c r="B583" s="3" t="s">
        <v>2217</v>
      </c>
      <c r="C583" s="2" t="s">
        <v>1881</v>
      </c>
      <c r="D583" s="3" t="s">
        <v>1882</v>
      </c>
      <c r="E583" s="3" t="s">
        <v>507</v>
      </c>
      <c r="F583" s="3" t="s">
        <v>1424</v>
      </c>
      <c r="G583" s="4" t="s">
        <v>20</v>
      </c>
      <c r="H583" s="4" t="s">
        <v>20</v>
      </c>
      <c r="I583" s="2" t="s">
        <v>2026</v>
      </c>
      <c r="J583" s="3" t="s">
        <v>2027</v>
      </c>
      <c r="K583" s="3" t="s">
        <v>499</v>
      </c>
      <c r="L583" s="3" t="s">
        <v>2219</v>
      </c>
      <c r="M583" s="4" t="s">
        <v>25</v>
      </c>
      <c r="N583" s="4" t="s">
        <v>26</v>
      </c>
    </row>
    <row r="584" spans="1:14" ht="36" x14ac:dyDescent="0.25">
      <c r="A584" s="2" t="s">
        <v>2220</v>
      </c>
      <c r="B584" s="3" t="s">
        <v>2221</v>
      </c>
      <c r="C584" s="2" t="s">
        <v>842</v>
      </c>
      <c r="D584" s="3" t="s">
        <v>843</v>
      </c>
      <c r="E584" s="3" t="s">
        <v>1610</v>
      </c>
      <c r="F584" s="3" t="s">
        <v>844</v>
      </c>
      <c r="G584" s="4" t="s">
        <v>20</v>
      </c>
      <c r="H584" s="4" t="s">
        <v>1611</v>
      </c>
      <c r="I584" s="2" t="s">
        <v>2222</v>
      </c>
      <c r="J584" s="3" t="s">
        <v>2223</v>
      </c>
      <c r="K584" s="3" t="s">
        <v>844</v>
      </c>
      <c r="L584" s="3" t="s">
        <v>2224</v>
      </c>
      <c r="M584" s="4" t="s">
        <v>25</v>
      </c>
      <c r="N584" s="4" t="s">
        <v>26</v>
      </c>
    </row>
    <row r="585" spans="1:14" ht="36" x14ac:dyDescent="0.25">
      <c r="A585" s="2" t="s">
        <v>2225</v>
      </c>
      <c r="B585" s="3" t="s">
        <v>2226</v>
      </c>
      <c r="C585" s="2" t="s">
        <v>91</v>
      </c>
      <c r="D585" s="3" t="s">
        <v>2227</v>
      </c>
      <c r="E585" s="3" t="s">
        <v>1610</v>
      </c>
      <c r="F585" s="3" t="s">
        <v>94</v>
      </c>
      <c r="G585" s="4" t="s">
        <v>20</v>
      </c>
      <c r="H585" s="4" t="s">
        <v>1611</v>
      </c>
      <c r="I585" s="2" t="s">
        <v>106</v>
      </c>
      <c r="J585" s="3" t="s">
        <v>107</v>
      </c>
      <c r="K585" s="3" t="s">
        <v>94</v>
      </c>
      <c r="L585" s="3" t="s">
        <v>2228</v>
      </c>
      <c r="M585" s="4" t="s">
        <v>25</v>
      </c>
      <c r="N585" s="4" t="s">
        <v>26</v>
      </c>
    </row>
    <row r="586" spans="1:14" ht="36" x14ac:dyDescent="0.25">
      <c r="A586" s="2" t="s">
        <v>2229</v>
      </c>
      <c r="B586" s="3" t="s">
        <v>2230</v>
      </c>
      <c r="C586" s="2" t="s">
        <v>91</v>
      </c>
      <c r="D586" s="3" t="s">
        <v>2227</v>
      </c>
      <c r="E586" s="3" t="s">
        <v>1610</v>
      </c>
      <c r="F586" s="3" t="s">
        <v>94</v>
      </c>
      <c r="G586" s="4" t="s">
        <v>32</v>
      </c>
      <c r="H586" s="4" t="s">
        <v>1611</v>
      </c>
      <c r="I586" s="2" t="s">
        <v>91</v>
      </c>
      <c r="J586" s="3" t="s">
        <v>95</v>
      </c>
      <c r="K586" s="3" t="s">
        <v>94</v>
      </c>
      <c r="L586" s="3" t="s">
        <v>2231</v>
      </c>
      <c r="M586" s="4" t="s">
        <v>234</v>
      </c>
      <c r="N586" s="4" t="s">
        <v>235</v>
      </c>
    </row>
    <row r="587" spans="1:14" ht="48" x14ac:dyDescent="0.25">
      <c r="A587" s="2" t="s">
        <v>2232</v>
      </c>
      <c r="B587" s="3" t="s">
        <v>2233</v>
      </c>
      <c r="C587" s="2" t="s">
        <v>55</v>
      </c>
      <c r="D587" s="3" t="s">
        <v>60</v>
      </c>
      <c r="E587" s="3" t="s">
        <v>1610</v>
      </c>
      <c r="F587" s="3" t="s">
        <v>19</v>
      </c>
      <c r="G587" s="4" t="s">
        <v>32</v>
      </c>
      <c r="H587" s="4" t="s">
        <v>1611</v>
      </c>
      <c r="I587" s="2" t="s">
        <v>55</v>
      </c>
      <c r="J587" s="3" t="s">
        <v>56</v>
      </c>
      <c r="K587" s="3" t="s">
        <v>19</v>
      </c>
      <c r="L587" s="3" t="s">
        <v>2234</v>
      </c>
      <c r="M587" s="4" t="s">
        <v>234</v>
      </c>
      <c r="N587" s="4" t="s">
        <v>235</v>
      </c>
    </row>
    <row r="588" spans="1:14" ht="24" x14ac:dyDescent="0.25">
      <c r="A588" s="2" t="s">
        <v>2235</v>
      </c>
      <c r="B588" s="3" t="s">
        <v>2236</v>
      </c>
      <c r="C588" s="2" t="s">
        <v>555</v>
      </c>
      <c r="D588" s="3" t="s">
        <v>571</v>
      </c>
      <c r="E588" s="3" t="s">
        <v>1610</v>
      </c>
      <c r="F588" s="3" t="s">
        <v>224</v>
      </c>
      <c r="G588" s="4" t="s">
        <v>32</v>
      </c>
      <c r="H588" s="4" t="s">
        <v>1611</v>
      </c>
      <c r="I588" s="2" t="s">
        <v>555</v>
      </c>
      <c r="J588" s="3" t="s">
        <v>556</v>
      </c>
      <c r="K588" s="3" t="s">
        <v>224</v>
      </c>
      <c r="L588" s="3" t="s">
        <v>2091</v>
      </c>
      <c r="M588" s="4" t="s">
        <v>25</v>
      </c>
      <c r="N588" s="4" t="s">
        <v>63</v>
      </c>
    </row>
    <row r="589" spans="1:14" ht="24" x14ac:dyDescent="0.25">
      <c r="A589" s="2" t="s">
        <v>2237</v>
      </c>
      <c r="B589" s="3" t="s">
        <v>2238</v>
      </c>
      <c r="C589" s="2" t="s">
        <v>66</v>
      </c>
      <c r="D589" s="3"/>
      <c r="E589" s="3" t="s">
        <v>1610</v>
      </c>
      <c r="F589" s="3"/>
      <c r="G589" s="4" t="s">
        <v>68</v>
      </c>
      <c r="H589" s="4" t="s">
        <v>1611</v>
      </c>
      <c r="I589" s="2" t="s">
        <v>555</v>
      </c>
      <c r="J589" s="3" t="s">
        <v>556</v>
      </c>
      <c r="K589" s="3" t="s">
        <v>224</v>
      </c>
      <c r="L589" s="3" t="s">
        <v>2239</v>
      </c>
      <c r="M589" s="4" t="s">
        <v>25</v>
      </c>
      <c r="N589" s="4" t="s">
        <v>26</v>
      </c>
    </row>
    <row r="590" spans="1:14" ht="36" x14ac:dyDescent="0.25">
      <c r="A590" s="2" t="s">
        <v>2240</v>
      </c>
      <c r="B590" s="3" t="s">
        <v>2241</v>
      </c>
      <c r="C590" s="2" t="s">
        <v>2101</v>
      </c>
      <c r="D590" s="3" t="s">
        <v>2242</v>
      </c>
      <c r="E590" s="3" t="s">
        <v>1610</v>
      </c>
      <c r="F590" s="3" t="s">
        <v>224</v>
      </c>
      <c r="G590" s="4" t="s">
        <v>20</v>
      </c>
      <c r="H590" s="4" t="s">
        <v>1611</v>
      </c>
      <c r="I590" s="2" t="s">
        <v>555</v>
      </c>
      <c r="J590" s="3" t="s">
        <v>556</v>
      </c>
      <c r="K590" s="3" t="s">
        <v>224</v>
      </c>
      <c r="L590" s="3" t="s">
        <v>2243</v>
      </c>
      <c r="M590" s="4" t="s">
        <v>25</v>
      </c>
      <c r="N590" s="4" t="s">
        <v>26</v>
      </c>
    </row>
    <row r="591" spans="1:14" ht="24" x14ac:dyDescent="0.25">
      <c r="A591" s="2" t="s">
        <v>2244</v>
      </c>
      <c r="B591" s="3" t="s">
        <v>2245</v>
      </c>
      <c r="C591" s="2" t="s">
        <v>532</v>
      </c>
      <c r="D591" s="3" t="s">
        <v>607</v>
      </c>
      <c r="E591" s="3" t="s">
        <v>1610</v>
      </c>
      <c r="F591" s="3" t="s">
        <v>224</v>
      </c>
      <c r="G591" s="4" t="s">
        <v>20</v>
      </c>
      <c r="H591" s="4" t="s">
        <v>1611</v>
      </c>
      <c r="I591" s="2" t="s">
        <v>555</v>
      </c>
      <c r="J591" s="3" t="s">
        <v>556</v>
      </c>
      <c r="K591" s="3" t="s">
        <v>224</v>
      </c>
      <c r="L591" s="3" t="s">
        <v>2246</v>
      </c>
      <c r="M591" s="4" t="s">
        <v>25</v>
      </c>
      <c r="N591" s="4" t="s">
        <v>26</v>
      </c>
    </row>
    <row r="592" spans="1:14" ht="24" x14ac:dyDescent="0.25">
      <c r="A592" s="2" t="s">
        <v>2247</v>
      </c>
      <c r="B592" s="3" t="s">
        <v>2248</v>
      </c>
      <c r="C592" s="2" t="s">
        <v>532</v>
      </c>
      <c r="D592" s="3" t="s">
        <v>607</v>
      </c>
      <c r="E592" s="3" t="s">
        <v>1610</v>
      </c>
      <c r="F592" s="3" t="s">
        <v>224</v>
      </c>
      <c r="G592" s="4" t="s">
        <v>20</v>
      </c>
      <c r="H592" s="4" t="s">
        <v>1611</v>
      </c>
      <c r="I592" s="2" t="s">
        <v>555</v>
      </c>
      <c r="J592" s="3" t="s">
        <v>556</v>
      </c>
      <c r="K592" s="3" t="s">
        <v>224</v>
      </c>
      <c r="L592" s="3" t="s">
        <v>2246</v>
      </c>
      <c r="M592" s="4" t="s">
        <v>25</v>
      </c>
      <c r="N592" s="4" t="s">
        <v>26</v>
      </c>
    </row>
    <row r="593" spans="1:14" ht="24" x14ac:dyDescent="0.25">
      <c r="A593" s="2" t="s">
        <v>2249</v>
      </c>
      <c r="B593" s="3" t="s">
        <v>2250</v>
      </c>
      <c r="C593" s="2" t="s">
        <v>66</v>
      </c>
      <c r="D593" s="3"/>
      <c r="E593" s="3" t="s">
        <v>1610</v>
      </c>
      <c r="F593" s="3"/>
      <c r="G593" s="4" t="s">
        <v>68</v>
      </c>
      <c r="H593" s="4" t="s">
        <v>1611</v>
      </c>
      <c r="I593" s="2" t="s">
        <v>555</v>
      </c>
      <c r="J593" s="3" t="s">
        <v>556</v>
      </c>
      <c r="K593" s="3" t="s">
        <v>224</v>
      </c>
      <c r="L593" s="3" t="s">
        <v>2239</v>
      </c>
      <c r="M593" s="4" t="s">
        <v>25</v>
      </c>
      <c r="N593" s="4" t="s">
        <v>26</v>
      </c>
    </row>
    <row r="594" spans="1:14" ht="36" x14ac:dyDescent="0.25">
      <c r="A594" s="2" t="s">
        <v>2251</v>
      </c>
      <c r="B594" s="3" t="s">
        <v>2252</v>
      </c>
      <c r="C594" s="2" t="s">
        <v>272</v>
      </c>
      <c r="D594" s="3" t="s">
        <v>273</v>
      </c>
      <c r="E594" s="3" t="s">
        <v>1610</v>
      </c>
      <c r="F594" s="3" t="s">
        <v>274</v>
      </c>
      <c r="G594" s="4" t="s">
        <v>20</v>
      </c>
      <c r="H594" s="4" t="s">
        <v>1611</v>
      </c>
      <c r="I594" s="2"/>
      <c r="J594" s="3"/>
      <c r="K594" s="3"/>
      <c r="L594" s="3" t="s">
        <v>2253</v>
      </c>
      <c r="M594" s="4" t="s">
        <v>234</v>
      </c>
      <c r="N594" s="4" t="s">
        <v>235</v>
      </c>
    </row>
    <row r="595" spans="1:14" ht="72" x14ac:dyDescent="0.25">
      <c r="A595" s="2" t="s">
        <v>2254</v>
      </c>
      <c r="B595" s="3" t="s">
        <v>2255</v>
      </c>
      <c r="C595" s="2" t="s">
        <v>842</v>
      </c>
      <c r="D595" s="3" t="s">
        <v>843</v>
      </c>
      <c r="E595" s="3" t="s">
        <v>1610</v>
      </c>
      <c r="F595" s="3" t="s">
        <v>844</v>
      </c>
      <c r="G595" s="4" t="s">
        <v>20</v>
      </c>
      <c r="H595" s="4" t="s">
        <v>1611</v>
      </c>
      <c r="I595" s="4" t="str">
        <f>INDEX(Neuanlagen!$C$6:$C$90,MATCH($A595,Neuanlagen!$A$6:$A$90,0))</f>
        <v>41824951</v>
      </c>
      <c r="J595" s="3" t="str">
        <f>INDEX(Neuanlagen!$D$6:$D$90,MATCH($A595,Neuanlagen!$A$6:$A$90,0))</f>
        <v>Mieterlöse Sonstige Grundstücksflächen</v>
      </c>
      <c r="K595" s="3" t="s">
        <v>769</v>
      </c>
      <c r="L595" s="3" t="s">
        <v>2256</v>
      </c>
      <c r="M595" s="4" t="s">
        <v>34</v>
      </c>
      <c r="N595" s="4" t="s">
        <v>771</v>
      </c>
    </row>
    <row r="596" spans="1:14" ht="72" x14ac:dyDescent="0.25">
      <c r="A596" s="2" t="s">
        <v>2257</v>
      </c>
      <c r="B596" s="3" t="s">
        <v>2258</v>
      </c>
      <c r="C596" s="2" t="s">
        <v>842</v>
      </c>
      <c r="D596" s="3" t="s">
        <v>843</v>
      </c>
      <c r="E596" s="3" t="s">
        <v>1610</v>
      </c>
      <c r="F596" s="3" t="s">
        <v>844</v>
      </c>
      <c r="G596" s="4" t="s">
        <v>20</v>
      </c>
      <c r="H596" s="4" t="s">
        <v>1611</v>
      </c>
      <c r="I596" s="4" t="str">
        <f>INDEX(Neuanlagen!$C$6:$C$90,MATCH($A596,Neuanlagen!$A$6:$A$90,0))</f>
        <v>41824970</v>
      </c>
      <c r="J596" s="3" t="str">
        <f>INDEX(Neuanlagen!$D$6:$D$90,MATCH($A596,Neuanlagen!$A$6:$A$90,0))</f>
        <v>Mieterlöse Konzerngesellschaften</v>
      </c>
      <c r="K596" s="3" t="s">
        <v>769</v>
      </c>
      <c r="L596" s="3" t="s">
        <v>2256</v>
      </c>
      <c r="M596" s="4" t="s">
        <v>34</v>
      </c>
      <c r="N596" s="4" t="s">
        <v>771</v>
      </c>
    </row>
    <row r="597" spans="1:14" ht="36" x14ac:dyDescent="0.25">
      <c r="A597" s="2" t="s">
        <v>2259</v>
      </c>
      <c r="B597" s="3" t="s">
        <v>2260</v>
      </c>
      <c r="C597" s="2" t="s">
        <v>2261</v>
      </c>
      <c r="D597" s="3" t="s">
        <v>2262</v>
      </c>
      <c r="E597" s="3" t="s">
        <v>1610</v>
      </c>
      <c r="F597" s="3" t="s">
        <v>164</v>
      </c>
      <c r="G597" s="4" t="s">
        <v>20</v>
      </c>
      <c r="H597" s="4" t="s">
        <v>1611</v>
      </c>
      <c r="I597" s="2" t="s">
        <v>1142</v>
      </c>
      <c r="J597" s="3" t="s">
        <v>1144</v>
      </c>
      <c r="K597" s="3" t="s">
        <v>164</v>
      </c>
      <c r="L597" s="3" t="s">
        <v>2263</v>
      </c>
      <c r="M597" s="4" t="s">
        <v>234</v>
      </c>
      <c r="N597" s="4" t="s">
        <v>235</v>
      </c>
    </row>
    <row r="598" spans="1:14" ht="36" x14ac:dyDescent="0.25">
      <c r="A598" s="2" t="s">
        <v>2264</v>
      </c>
      <c r="B598" s="3" t="s">
        <v>2265</v>
      </c>
      <c r="C598" s="2" t="s">
        <v>1255</v>
      </c>
      <c r="D598" s="3" t="s">
        <v>1281</v>
      </c>
      <c r="E598" s="3" t="s">
        <v>1610</v>
      </c>
      <c r="F598" s="3" t="s">
        <v>1257</v>
      </c>
      <c r="G598" s="4" t="s">
        <v>32</v>
      </c>
      <c r="H598" s="4" t="s">
        <v>1611</v>
      </c>
      <c r="I598" s="2" t="s">
        <v>1255</v>
      </c>
      <c r="J598" s="3" t="s">
        <v>1256</v>
      </c>
      <c r="K598" s="3" t="s">
        <v>1257</v>
      </c>
      <c r="L598" s="3" t="s">
        <v>2266</v>
      </c>
      <c r="M598" s="4" t="s">
        <v>25</v>
      </c>
      <c r="N598" s="4" t="s">
        <v>63</v>
      </c>
    </row>
    <row r="599" spans="1:14" ht="36" x14ac:dyDescent="0.25">
      <c r="A599" s="2" t="s">
        <v>2267</v>
      </c>
      <c r="B599" s="3" t="s">
        <v>2268</v>
      </c>
      <c r="C599" s="2" t="s">
        <v>1301</v>
      </c>
      <c r="D599" s="3" t="s">
        <v>1302</v>
      </c>
      <c r="E599" s="3" t="s">
        <v>1610</v>
      </c>
      <c r="F599" s="3" t="s">
        <v>499</v>
      </c>
      <c r="G599" s="4" t="s">
        <v>20</v>
      </c>
      <c r="H599" s="4" t="s">
        <v>1611</v>
      </c>
      <c r="I599" s="2" t="s">
        <v>1626</v>
      </c>
      <c r="J599" s="3" t="s">
        <v>1627</v>
      </c>
      <c r="K599" s="3" t="s">
        <v>594</v>
      </c>
      <c r="L599" s="3" t="s">
        <v>2269</v>
      </c>
      <c r="M599" s="4" t="s">
        <v>25</v>
      </c>
      <c r="N599" s="4" t="s">
        <v>26</v>
      </c>
    </row>
    <row r="600" spans="1:14" ht="36" x14ac:dyDescent="0.25">
      <c r="A600" s="2" t="s">
        <v>2270</v>
      </c>
      <c r="B600" s="3" t="s">
        <v>2271</v>
      </c>
      <c r="C600" s="2" t="s">
        <v>1004</v>
      </c>
      <c r="D600" s="3" t="s">
        <v>1005</v>
      </c>
      <c r="E600" s="3" t="s">
        <v>1610</v>
      </c>
      <c r="F600" s="3" t="s">
        <v>499</v>
      </c>
      <c r="G600" s="4" t="s">
        <v>20</v>
      </c>
      <c r="H600" s="4" t="s">
        <v>1611</v>
      </c>
      <c r="I600" s="2" t="s">
        <v>1836</v>
      </c>
      <c r="J600" s="3" t="s">
        <v>1837</v>
      </c>
      <c r="K600" s="3" t="s">
        <v>1838</v>
      </c>
      <c r="L600" s="3" t="s">
        <v>2272</v>
      </c>
      <c r="M600" s="4" t="s">
        <v>25</v>
      </c>
      <c r="N600" s="4" t="s">
        <v>26</v>
      </c>
    </row>
    <row r="601" spans="1:14" ht="36" x14ac:dyDescent="0.25">
      <c r="A601" s="2" t="s">
        <v>2273</v>
      </c>
      <c r="B601" s="3" t="s">
        <v>2274</v>
      </c>
      <c r="C601" s="2" t="s">
        <v>66</v>
      </c>
      <c r="D601" s="3"/>
      <c r="E601" s="3" t="s">
        <v>1610</v>
      </c>
      <c r="F601" s="3"/>
      <c r="G601" s="4" t="s">
        <v>68</v>
      </c>
      <c r="H601" s="4" t="s">
        <v>1611</v>
      </c>
      <c r="I601" s="2"/>
      <c r="J601" s="3"/>
      <c r="K601" s="3"/>
      <c r="L601" s="3" t="s">
        <v>2210</v>
      </c>
      <c r="M601" s="4" t="s">
        <v>34</v>
      </c>
      <c r="N601" s="4" t="s">
        <v>35</v>
      </c>
    </row>
  </sheetData>
  <autoFilter ref="A1:N601" xr:uid="{00000000-0009-0000-0000-000000000000}"/>
  <conditionalFormatting sqref="G2:G601">
    <cfRule type="expression" dxfId="17" priority="6">
      <formula>$G2="OK"</formula>
    </cfRule>
    <cfRule type="expression" dxfId="16" priority="7">
      <formula>$G2="Abweichung"</formula>
    </cfRule>
    <cfRule type="expression" dxfId="15" priority="8">
      <formula>$G2="kein Mapping (TBD)"</formula>
    </cfRule>
    <cfRule type="expression" dxfId="14" priority="9">
      <formula>$G2="nicht prüfbar"</formula>
    </cfRule>
  </conditionalFormatting>
  <conditionalFormatting sqref="H2:H601">
    <cfRule type="expression" dxfId="13" priority="10">
      <formula>$H2="OK"</formula>
    </cfRule>
    <cfRule type="expression" dxfId="12" priority="11">
      <formula>$H2="Abweichung"</formula>
    </cfRule>
    <cfRule type="expression" dxfId="11" priority="12">
      <formula>$H2="kein Mapping (TBD)"</formula>
    </cfRule>
    <cfRule type="expression" dxfId="10" priority="13">
      <formula>$H2="nicht prüfbar"</formula>
    </cfRule>
  </conditionalFormatting>
  <conditionalFormatting sqref="M2:M601">
    <cfRule type="expression" dxfId="9" priority="14">
      <formula>$M2="niedrig"</formula>
    </cfRule>
    <cfRule type="expression" dxfId="8" priority="15">
      <formula>$M2="hoch"</formula>
    </cfRule>
  </conditionalFormatting>
  <conditionalFormatting sqref="N2:N601">
    <cfRule type="expression" dxfId="7" priority="1">
      <formula>$N2="unverändert"</formula>
    </cfRule>
    <cfRule type="expression" dxfId="6" priority="2">
      <formula>$N2="korrigiert"</formula>
    </cfRule>
    <cfRule type="expression" dxfId="5" priority="3">
      <formula>$N2="Neuanlage"</formula>
    </cfRule>
    <cfRule type="expression" dxfId="4" priority="4">
      <formula>$N2="Neuanlage prüfen"</formula>
    </cfRule>
    <cfRule type="expression" dxfId="3" priority="5">
      <formula>$N2="manuell klären"</formula>
    </cfRule>
  </conditionalFormatting>
  <pageMargins left="0.75" right="0.75" top="1" bottom="1" header="0.5" footer="0.5"/>
  <pageSetup paperSize="8" fitToHeight="0" orientation="landscape"/>
  <headerFooter>
    <oddFooter>&amp;C&amp;8 &amp;A – Seite &amp;P von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H60"/>
  <sheetViews>
    <sheetView workbookViewId="0">
      <pane ySplit="3" topLeftCell="A4" activePane="bottomLeft" state="frozen"/>
      <selection pane="bottomLeft"/>
    </sheetView>
  </sheetViews>
  <sheetFormatPr defaultColWidth="9.140625" defaultRowHeight="15" x14ac:dyDescent="0.25"/>
  <cols>
    <col min="1" max="1" width="66" customWidth="1"/>
    <col min="2" max="7" width="15" customWidth="1"/>
    <col min="8" max="8" width="60" customWidth="1"/>
  </cols>
  <sheetData>
    <row r="1" spans="1:8" ht="18" x14ac:dyDescent="0.25">
      <c r="A1" s="5" t="s">
        <v>2275</v>
      </c>
    </row>
    <row r="2" spans="1:8" x14ac:dyDescent="0.25">
      <c r="A2" s="6" t="s">
        <v>2276</v>
      </c>
    </row>
    <row r="4" spans="1:8" x14ac:dyDescent="0.25">
      <c r="A4" s="7" t="s">
        <v>2277</v>
      </c>
      <c r="B4" s="8"/>
      <c r="C4" s="8"/>
      <c r="D4" s="8"/>
      <c r="E4" s="8"/>
      <c r="F4" s="8"/>
      <c r="G4" s="8"/>
      <c r="H4" s="8"/>
    </row>
    <row r="5" spans="1:8" x14ac:dyDescent="0.25">
      <c r="A5" s="9" t="s">
        <v>2278</v>
      </c>
      <c r="B5" s="10">
        <f>COUNTA(Mapping!$A$2:$A$601)</f>
        <v>600</v>
      </c>
    </row>
    <row r="6" spans="1:8" x14ac:dyDescent="0.25">
      <c r="A6" s="11" t="s">
        <v>2279</v>
      </c>
      <c r="B6" s="12">
        <f>COUNTIF(Mapping!$H$2:$H$601,"&lt;&gt;nicht prüfbar")</f>
        <v>533</v>
      </c>
    </row>
    <row r="7" spans="1:8" x14ac:dyDescent="0.25">
      <c r="A7" s="9" t="s">
        <v>2280</v>
      </c>
      <c r="B7" s="10">
        <f>COUNTIF(Mapping!$H$2:$H$601,"nicht prüfbar")</f>
        <v>67</v>
      </c>
    </row>
    <row r="8" spans="1:8" x14ac:dyDescent="0.25">
      <c r="A8" s="9" t="s">
        <v>2281</v>
      </c>
      <c r="B8" s="10">
        <f>COUNTIF(Mapping!$N$2:$N$601,"korrigiert")</f>
        <v>359</v>
      </c>
    </row>
    <row r="9" spans="1:8" x14ac:dyDescent="0.25">
      <c r="A9" s="11" t="s">
        <v>2282</v>
      </c>
      <c r="B9" s="12">
        <f>COUNTIFS(Mapping!$N$2:$N$601,"korrigiert",Mapping!$C$2:$C$601,"&lt;&gt;TBD")</f>
        <v>259</v>
      </c>
    </row>
    <row r="10" spans="1:8" x14ac:dyDescent="0.25">
      <c r="A10" s="11" t="s">
        <v>2283</v>
      </c>
      <c r="B10" s="12">
        <f>COUNTIFS(Mapping!$N$2:$N$601,"korrigiert",Mapping!$C$2:$C$601,"TBD")</f>
        <v>100</v>
      </c>
    </row>
    <row r="11" spans="1:8" x14ac:dyDescent="0.25">
      <c r="A11" s="9" t="s">
        <v>2284</v>
      </c>
      <c r="B11" s="10">
        <f>COUNTIF(Mapping!$N$2:$N$601,"unverändert")</f>
        <v>95</v>
      </c>
    </row>
    <row r="12" spans="1:8" x14ac:dyDescent="0.25">
      <c r="A12" s="9" t="s">
        <v>2285</v>
      </c>
      <c r="B12" s="10">
        <f>COUNTIF(Mapping!$N$2:$N$601,"Neuanlage")</f>
        <v>85</v>
      </c>
    </row>
    <row r="13" spans="1:8" x14ac:dyDescent="0.25">
      <c r="A13" s="9" t="s">
        <v>2286</v>
      </c>
      <c r="B13" s="10">
        <f>B14+B15</f>
        <v>61</v>
      </c>
    </row>
    <row r="14" spans="1:8" x14ac:dyDescent="0.25">
      <c r="A14" s="11" t="s">
        <v>2287</v>
      </c>
      <c r="B14" s="12">
        <f>COUNTIF(Mapping!$N$2:$N$601,"Neuanlage prüfen")</f>
        <v>39</v>
      </c>
    </row>
    <row r="15" spans="1:8" x14ac:dyDescent="0.25">
      <c r="A15" s="11" t="s">
        <v>2288</v>
      </c>
      <c r="B15" s="12">
        <f>COUNTIF(Mapping!$N$2:$N$601,"manuell klären")</f>
        <v>22</v>
      </c>
    </row>
    <row r="16" spans="1:8" x14ac:dyDescent="0.25">
      <c r="A16" s="11" t="s">
        <v>2289</v>
      </c>
      <c r="B16" s="12" t="str">
        <f>IF(B8+B11+B12+B14+B15=B5,"OK","Differenz")</f>
        <v>OK</v>
      </c>
    </row>
    <row r="17" spans="1:8" x14ac:dyDescent="0.25">
      <c r="A17" s="11" t="s">
        <v>2290</v>
      </c>
      <c r="B17" s="12" t="str">
        <f>IF(COUNTIF(Neuanlagen!$J$6:$J$90,"frei")=B12,"OK","prüfen")</f>
        <v>OK</v>
      </c>
      <c r="C17" s="13" t="s">
        <v>2291</v>
      </c>
    </row>
    <row r="19" spans="1:8" x14ac:dyDescent="0.25">
      <c r="A19" s="7" t="s">
        <v>2292</v>
      </c>
      <c r="B19" s="8"/>
      <c r="C19" s="8"/>
      <c r="D19" s="8"/>
      <c r="E19" s="8"/>
      <c r="F19" s="8"/>
      <c r="G19" s="8"/>
      <c r="H19" s="8"/>
    </row>
    <row r="20" spans="1:8" x14ac:dyDescent="0.25">
      <c r="A20" s="11" t="s">
        <v>2293</v>
      </c>
      <c r="B20" s="12">
        <f>COUNTIF(Mapping!$G$2:$G$601,"OK")</f>
        <v>136</v>
      </c>
    </row>
    <row r="21" spans="1:8" x14ac:dyDescent="0.25">
      <c r="A21" s="11" t="s">
        <v>2294</v>
      </c>
      <c r="B21" s="12">
        <f>COUNTIF(Mapping!$G$2:$G$601,"Abweichung")</f>
        <v>314</v>
      </c>
    </row>
    <row r="22" spans="1:8" x14ac:dyDescent="0.25">
      <c r="A22" s="11" t="s">
        <v>2295</v>
      </c>
      <c r="B22" s="12">
        <f>COUNTIF(Mapping!$G$2:$G$601,"kein Mapping (TBD)")</f>
        <v>150</v>
      </c>
    </row>
    <row r="23" spans="1:8" x14ac:dyDescent="0.25">
      <c r="A23" s="11" t="s">
        <v>2296</v>
      </c>
      <c r="B23" s="12">
        <f>COUNTIF(Mapping!$H$2:$H$601,"OK")</f>
        <v>148</v>
      </c>
    </row>
    <row r="24" spans="1:8" x14ac:dyDescent="0.25">
      <c r="A24" s="11" t="s">
        <v>2297</v>
      </c>
      <c r="B24" s="12">
        <f>COUNTIF(Mapping!$H$2:$H$601,"Abweichung")</f>
        <v>251</v>
      </c>
    </row>
    <row r="25" spans="1:8" x14ac:dyDescent="0.25">
      <c r="A25" s="11" t="s">
        <v>2298</v>
      </c>
      <c r="B25" s="12">
        <f>COUNTIF(Mapping!$H$2:$H$601,"kein Mapping (TBD)")</f>
        <v>134</v>
      </c>
    </row>
    <row r="26" spans="1:8" x14ac:dyDescent="0.25">
      <c r="A26" s="11" t="s">
        <v>2299</v>
      </c>
      <c r="B26" s="12">
        <f>COUNTIF(Mapping!$H$2:$H$601,"nicht prüfbar")</f>
        <v>67</v>
      </c>
    </row>
    <row r="27" spans="1:8" x14ac:dyDescent="0.25">
      <c r="A27" s="11" t="s">
        <v>2300</v>
      </c>
      <c r="B27" s="12">
        <f>COUNTIF(Mapping!$F$2:$F$601,"nicht in [Y] enthalten")</f>
        <v>56</v>
      </c>
      <c r="C27" s="13" t="s">
        <v>2301</v>
      </c>
    </row>
    <row r="28" spans="1:8" x14ac:dyDescent="0.25">
      <c r="A28" s="11" t="s">
        <v>2302</v>
      </c>
      <c r="B28" s="12">
        <f>COUNTIF(Mapping!$F$2:$F$601,"Not assigned*")</f>
        <v>93</v>
      </c>
      <c r="C28" s="13" t="s">
        <v>2303</v>
      </c>
    </row>
    <row r="30" spans="1:8" x14ac:dyDescent="0.25">
      <c r="A30" s="7" t="s">
        <v>2304</v>
      </c>
      <c r="B30" s="8"/>
      <c r="C30" s="8"/>
      <c r="D30" s="8"/>
      <c r="E30" s="8"/>
      <c r="F30" s="8"/>
      <c r="G30" s="8"/>
      <c r="H30" s="8"/>
    </row>
    <row r="31" spans="1:8" x14ac:dyDescent="0.25">
      <c r="A31" s="11" t="s">
        <v>34</v>
      </c>
      <c r="B31" s="12">
        <f>COUNTIF(Mapping!$M$2:$M$601,"hoch")</f>
        <v>252</v>
      </c>
    </row>
    <row r="32" spans="1:8" x14ac:dyDescent="0.25">
      <c r="A32" s="11" t="s">
        <v>25</v>
      </c>
      <c r="B32" s="12">
        <f>COUNTIF(Mapping!$M$2:$M$601,"mittel")</f>
        <v>332</v>
      </c>
    </row>
    <row r="33" spans="1:8" x14ac:dyDescent="0.25">
      <c r="A33" s="11" t="s">
        <v>234</v>
      </c>
      <c r="B33" s="12">
        <f>COUNTIF(Mapping!$M$2:$M$601,"niedrig")</f>
        <v>16</v>
      </c>
    </row>
    <row r="35" spans="1:8" x14ac:dyDescent="0.25">
      <c r="A35" s="7" t="s">
        <v>2305</v>
      </c>
      <c r="B35" s="8"/>
      <c r="C35" s="8"/>
      <c r="D35" s="8"/>
      <c r="E35" s="8"/>
      <c r="F35" s="8"/>
      <c r="G35" s="8"/>
      <c r="H35" s="8"/>
    </row>
    <row r="36" spans="1:8" ht="24.75" x14ac:dyDescent="0.25">
      <c r="A36" s="14" t="s">
        <v>2306</v>
      </c>
      <c r="B36" s="14" t="s">
        <v>63</v>
      </c>
      <c r="C36" s="14" t="s">
        <v>26</v>
      </c>
      <c r="D36" s="14" t="s">
        <v>771</v>
      </c>
      <c r="E36" s="14" t="s">
        <v>35</v>
      </c>
      <c r="F36" s="14" t="s">
        <v>235</v>
      </c>
      <c r="G36" s="14" t="s">
        <v>2307</v>
      </c>
    </row>
    <row r="37" spans="1:8" x14ac:dyDescent="0.25">
      <c r="A37" s="15" t="s">
        <v>2308</v>
      </c>
      <c r="B37" s="15">
        <f>COUNTIFS(Mapping!$E$2:$E$601,"Aktiva*",Mapping!$N$2:$N$601,"unverändert")</f>
        <v>29</v>
      </c>
      <c r="C37" s="15">
        <f>COUNTIFS(Mapping!$E$2:$E$601,"Aktiva*",Mapping!$N$2:$N$601,"korrigiert")</f>
        <v>70</v>
      </c>
      <c r="D37" s="15">
        <f>COUNTIFS(Mapping!$E$2:$E$601,"Aktiva*",Mapping!$N$2:$N$601,"Neuanlage")</f>
        <v>0</v>
      </c>
      <c r="E37" s="15">
        <f>COUNTIFS(Mapping!$E$2:$E$601,"Aktiva*",Mapping!$N$2:$N$601,"Neuanlage prüfen")</f>
        <v>6</v>
      </c>
      <c r="F37" s="15">
        <f>COUNTIFS(Mapping!$E$2:$E$601,"Aktiva*",Mapping!$N$2:$N$601,"manuell klären")</f>
        <v>4</v>
      </c>
      <c r="G37" s="16">
        <f>SUM(B37:F37)</f>
        <v>109</v>
      </c>
    </row>
    <row r="38" spans="1:8" x14ac:dyDescent="0.25">
      <c r="A38" s="15" t="s">
        <v>2309</v>
      </c>
      <c r="B38" s="15">
        <f>COUNTIFS(Mapping!$E$2:$E$601,"Passiva*",Mapping!$N$2:$N$601,"unverändert")</f>
        <v>8</v>
      </c>
      <c r="C38" s="15">
        <f>COUNTIFS(Mapping!$E$2:$E$601,"Passiva*",Mapping!$N$2:$N$601,"korrigiert")</f>
        <v>50</v>
      </c>
      <c r="D38" s="15">
        <f>COUNTIFS(Mapping!$E$2:$E$601,"Passiva*",Mapping!$N$2:$N$601,"Neuanlage")</f>
        <v>0</v>
      </c>
      <c r="E38" s="15">
        <f>COUNTIFS(Mapping!$E$2:$E$601,"Passiva*",Mapping!$N$2:$N$601,"Neuanlage prüfen")</f>
        <v>12</v>
      </c>
      <c r="F38" s="15">
        <f>COUNTIFS(Mapping!$E$2:$E$601,"Passiva*",Mapping!$N$2:$N$601,"manuell klären")</f>
        <v>3</v>
      </c>
      <c r="G38" s="16">
        <f>SUM(B38:F38)</f>
        <v>73</v>
      </c>
    </row>
    <row r="39" spans="1:8" x14ac:dyDescent="0.25">
      <c r="A39" s="15" t="s">
        <v>2310</v>
      </c>
      <c r="B39" s="15">
        <f>COUNTIFS(Mapping!$E$2:$E$601,"GuV*",Mapping!$N$2:$N$601,"unverändert")</f>
        <v>40</v>
      </c>
      <c r="C39" s="15">
        <f>COUNTIFS(Mapping!$E$2:$E$601,"GuV*",Mapping!$N$2:$N$601,"korrigiert")</f>
        <v>181</v>
      </c>
      <c r="D39" s="15">
        <f>COUNTIFS(Mapping!$E$2:$E$601,"GuV*",Mapping!$N$2:$N$601,"Neuanlage")</f>
        <v>76</v>
      </c>
      <c r="E39" s="15">
        <f>COUNTIFS(Mapping!$E$2:$E$601,"GuV*",Mapping!$N$2:$N$601,"Neuanlage prüfen")</f>
        <v>18</v>
      </c>
      <c r="F39" s="15">
        <f>COUNTIFS(Mapping!$E$2:$E$601,"GuV*",Mapping!$N$2:$N$601,"manuell klären")</f>
        <v>8</v>
      </c>
      <c r="G39" s="16">
        <f>SUM(B39:F39)</f>
        <v>323</v>
      </c>
    </row>
    <row r="40" spans="1:8" x14ac:dyDescent="0.25">
      <c r="A40" s="15" t="s">
        <v>2311</v>
      </c>
      <c r="B40" s="15">
        <f>COUNTIFS(Mapping!$E$2:$E$601,"Außerhalb*",Mapping!$N$2:$N$601,"unverändert")</f>
        <v>10</v>
      </c>
      <c r="C40" s="15">
        <f>COUNTIFS(Mapping!$E$2:$E$601,"Außerhalb*",Mapping!$N$2:$N$601,"korrigiert")</f>
        <v>15</v>
      </c>
      <c r="D40" s="15">
        <f>COUNTIFS(Mapping!$E$2:$E$601,"Außerhalb*",Mapping!$N$2:$N$601,"Neuanlage")</f>
        <v>0</v>
      </c>
      <c r="E40" s="15">
        <f>COUNTIFS(Mapping!$E$2:$E$601,"Außerhalb*",Mapping!$N$2:$N$601,"Neuanlage prüfen")</f>
        <v>1</v>
      </c>
      <c r="F40" s="15">
        <f>COUNTIFS(Mapping!$E$2:$E$601,"Außerhalb*",Mapping!$N$2:$N$601,"manuell klären")</f>
        <v>2</v>
      </c>
      <c r="G40" s="16">
        <f>SUM(B40:F40)</f>
        <v>28</v>
      </c>
    </row>
    <row r="41" spans="1:8" x14ac:dyDescent="0.25">
      <c r="A41" s="15" t="s">
        <v>2312</v>
      </c>
      <c r="B41" s="15">
        <f>COUNTIFS(Mapping!$E$2:$E$601,"nicht in*",Mapping!$N$2:$N$601,"unverändert")</f>
        <v>8</v>
      </c>
      <c r="C41" s="15">
        <f>COUNTIFS(Mapping!$E$2:$E$601,"nicht in*",Mapping!$N$2:$N$601,"korrigiert")</f>
        <v>43</v>
      </c>
      <c r="D41" s="15">
        <f>COUNTIFS(Mapping!$E$2:$E$601,"nicht in*",Mapping!$N$2:$N$601,"Neuanlage")</f>
        <v>9</v>
      </c>
      <c r="E41" s="15">
        <f>COUNTIFS(Mapping!$E$2:$E$601,"nicht in*",Mapping!$N$2:$N$601,"Neuanlage prüfen")</f>
        <v>2</v>
      </c>
      <c r="F41" s="15">
        <f>COUNTIFS(Mapping!$E$2:$E$601,"nicht in*",Mapping!$N$2:$N$601,"manuell klären")</f>
        <v>5</v>
      </c>
      <c r="G41" s="16">
        <f>SUM(B41:F41)</f>
        <v>67</v>
      </c>
    </row>
    <row r="42" spans="1:8" x14ac:dyDescent="0.25">
      <c r="A42" s="16" t="s">
        <v>2307</v>
      </c>
      <c r="B42" s="16">
        <f t="shared" ref="B42:G42" si="0">SUM(B37:B41)</f>
        <v>95</v>
      </c>
      <c r="C42" s="16">
        <f t="shared" si="0"/>
        <v>359</v>
      </c>
      <c r="D42" s="16">
        <f t="shared" si="0"/>
        <v>85</v>
      </c>
      <c r="E42" s="16">
        <f t="shared" si="0"/>
        <v>39</v>
      </c>
      <c r="F42" s="16">
        <f t="shared" si="0"/>
        <v>22</v>
      </c>
      <c r="G42" s="16">
        <f t="shared" si="0"/>
        <v>600</v>
      </c>
    </row>
    <row r="43" spans="1:8" x14ac:dyDescent="0.25">
      <c r="A43" s="17" t="s">
        <v>2313</v>
      </c>
    </row>
    <row r="45" spans="1:8" x14ac:dyDescent="0.25">
      <c r="A45" s="7" t="s">
        <v>2314</v>
      </c>
      <c r="B45" s="8"/>
      <c r="C45" s="8"/>
      <c r="D45" s="8"/>
      <c r="E45" s="8"/>
      <c r="F45" s="8"/>
      <c r="G45" s="8"/>
      <c r="H45" s="8"/>
    </row>
    <row r="46" spans="1:8" ht="38.1" customHeight="1" x14ac:dyDescent="0.25">
      <c r="A46" s="18" t="s">
        <v>2315</v>
      </c>
      <c r="B46" s="24" t="s">
        <v>2316</v>
      </c>
      <c r="C46" s="25"/>
      <c r="D46" s="25"/>
      <c r="E46" s="25"/>
      <c r="F46" s="25"/>
      <c r="G46" s="25"/>
      <c r="H46" s="25"/>
    </row>
    <row r="47" spans="1:8" ht="38.1" customHeight="1" x14ac:dyDescent="0.25">
      <c r="A47" s="18" t="s">
        <v>2317</v>
      </c>
      <c r="B47" s="24" t="s">
        <v>2318</v>
      </c>
      <c r="C47" s="25"/>
      <c r="D47" s="25"/>
      <c r="E47" s="25"/>
      <c r="F47" s="25"/>
      <c r="G47" s="25"/>
      <c r="H47" s="25"/>
    </row>
    <row r="48" spans="1:8" ht="38.1" customHeight="1" x14ac:dyDescent="0.25">
      <c r="A48" s="18" t="s">
        <v>2319</v>
      </c>
      <c r="B48" s="24" t="s">
        <v>2320</v>
      </c>
      <c r="C48" s="25"/>
      <c r="D48" s="25"/>
      <c r="E48" s="25"/>
      <c r="F48" s="25"/>
      <c r="G48" s="25"/>
      <c r="H48" s="25"/>
    </row>
    <row r="50" spans="1:8" x14ac:dyDescent="0.25">
      <c r="A50" s="7" t="s">
        <v>2321</v>
      </c>
      <c r="B50" s="8"/>
      <c r="C50" s="8"/>
      <c r="D50" s="8"/>
      <c r="E50" s="8"/>
      <c r="F50" s="8"/>
      <c r="G50" s="8"/>
      <c r="H50" s="8"/>
    </row>
    <row r="51" spans="1:8" ht="26.1" customHeight="1" x14ac:dyDescent="0.25">
      <c r="A51" s="24" t="s">
        <v>2322</v>
      </c>
      <c r="B51" s="25"/>
      <c r="C51" s="25"/>
      <c r="D51" s="25"/>
      <c r="E51" s="25"/>
      <c r="F51" s="25"/>
      <c r="G51" s="25"/>
      <c r="H51" s="25"/>
    </row>
    <row r="52" spans="1:8" ht="26.1" customHeight="1" x14ac:dyDescent="0.25">
      <c r="A52" s="24" t="s">
        <v>2323</v>
      </c>
      <c r="B52" s="25"/>
      <c r="C52" s="25"/>
      <c r="D52" s="25"/>
      <c r="E52" s="25"/>
      <c r="F52" s="25"/>
      <c r="G52" s="25"/>
      <c r="H52" s="25"/>
    </row>
    <row r="53" spans="1:8" ht="26.1" customHeight="1" x14ac:dyDescent="0.25">
      <c r="A53" s="24" t="s">
        <v>2324</v>
      </c>
      <c r="B53" s="25"/>
      <c r="C53" s="25"/>
      <c r="D53" s="25"/>
      <c r="E53" s="25"/>
      <c r="F53" s="25"/>
      <c r="G53" s="25"/>
      <c r="H53" s="25"/>
    </row>
    <row r="54" spans="1:8" ht="26.1" customHeight="1" x14ac:dyDescent="0.25">
      <c r="A54" s="24" t="s">
        <v>2325</v>
      </c>
      <c r="B54" s="25"/>
      <c r="C54" s="25"/>
      <c r="D54" s="25"/>
      <c r="E54" s="25"/>
      <c r="F54" s="25"/>
      <c r="G54" s="25"/>
      <c r="H54" s="25"/>
    </row>
    <row r="55" spans="1:8" ht="26.1" customHeight="1" x14ac:dyDescent="0.25">
      <c r="A55" s="24" t="s">
        <v>2326</v>
      </c>
      <c r="B55" s="25"/>
      <c r="C55" s="25"/>
      <c r="D55" s="25"/>
      <c r="E55" s="25"/>
      <c r="F55" s="25"/>
      <c r="G55" s="25"/>
      <c r="H55" s="25"/>
    </row>
    <row r="56" spans="1:8" ht="26.1" customHeight="1" x14ac:dyDescent="0.25">
      <c r="A56" s="24" t="s">
        <v>2327</v>
      </c>
      <c r="B56" s="25"/>
      <c r="C56" s="25"/>
      <c r="D56" s="25"/>
      <c r="E56" s="25"/>
      <c r="F56" s="25"/>
      <c r="G56" s="25"/>
      <c r="H56" s="25"/>
    </row>
    <row r="57" spans="1:8" ht="26.1" customHeight="1" x14ac:dyDescent="0.25">
      <c r="A57" s="24" t="s">
        <v>2328</v>
      </c>
      <c r="B57" s="25"/>
      <c r="C57" s="25"/>
      <c r="D57" s="25"/>
      <c r="E57" s="25"/>
      <c r="F57" s="25"/>
      <c r="G57" s="25"/>
      <c r="H57" s="25"/>
    </row>
    <row r="58" spans="1:8" ht="26.1" customHeight="1" x14ac:dyDescent="0.25">
      <c r="A58" s="24" t="s">
        <v>2329</v>
      </c>
      <c r="B58" s="25"/>
      <c r="C58" s="25"/>
      <c r="D58" s="25"/>
      <c r="E58" s="25"/>
      <c r="F58" s="25"/>
      <c r="G58" s="25"/>
      <c r="H58" s="25"/>
    </row>
    <row r="60" spans="1:8" x14ac:dyDescent="0.25">
      <c r="A60" s="6" t="s">
        <v>2330</v>
      </c>
    </row>
  </sheetData>
  <mergeCells count="11">
    <mergeCell ref="A58:H58"/>
    <mergeCell ref="A56:H56"/>
    <mergeCell ref="A53:H53"/>
    <mergeCell ref="A55:H55"/>
    <mergeCell ref="A57:H57"/>
    <mergeCell ref="A54:H54"/>
    <mergeCell ref="B46:H46"/>
    <mergeCell ref="A51:H51"/>
    <mergeCell ref="A52:H52"/>
    <mergeCell ref="B47:H47"/>
    <mergeCell ref="B48:H48"/>
  </mergeCells>
  <pageMargins left="0.75" right="0.75" top="1" bottom="1" header="0.5" footer="0.5"/>
  <pageSetup paperSize="9" fitToHeight="0" orientation="landscape"/>
  <headerFooter>
    <oddFooter>&amp;C&amp;8 &amp;A – 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K91"/>
  <sheetViews>
    <sheetView tabSelected="1" workbookViewId="0">
      <pane xSplit="2" ySplit="5" topLeftCell="C77" activePane="bottomRight" state="frozen"/>
      <selection pane="topRight"/>
      <selection pane="bottomLeft"/>
      <selection pane="bottomRight" activeCell="C6" sqref="C6:D90"/>
    </sheetView>
  </sheetViews>
  <sheetFormatPr defaultColWidth="9.140625" defaultRowHeight="15" x14ac:dyDescent="0.25"/>
  <cols>
    <col min="1" max="1" width="13" customWidth="1"/>
    <col min="2" max="2" width="42" customWidth="1"/>
    <col min="3" max="3" width="14" customWidth="1"/>
    <col min="4" max="4" width="44" customWidth="1"/>
    <col min="5" max="5" width="13" customWidth="1"/>
    <col min="6" max="7" width="40" customWidth="1"/>
    <col min="8" max="8" width="62" customWidth="1"/>
    <col min="9" max="9" width="17" customWidth="1"/>
    <col min="10" max="10" width="11" customWidth="1"/>
    <col min="11" max="11" width="70" customWidth="1"/>
  </cols>
  <sheetData>
    <row r="1" spans="1:11" ht="18" x14ac:dyDescent="0.25">
      <c r="A1" s="5" t="s">
        <v>2331</v>
      </c>
    </row>
    <row r="2" spans="1:11" ht="39.950000000000003" customHeight="1" x14ac:dyDescent="0.25">
      <c r="A2" s="26" t="s">
        <v>2332</v>
      </c>
      <c r="B2" s="25"/>
      <c r="C2" s="25"/>
      <c r="D2" s="25"/>
      <c r="E2" s="25"/>
      <c r="F2" s="25"/>
      <c r="G2" s="25"/>
      <c r="H2" s="25"/>
      <c r="I2" s="25"/>
      <c r="J2" s="25"/>
      <c r="K2" s="25"/>
    </row>
    <row r="3" spans="1:11" x14ac:dyDescent="0.25">
      <c r="A3" s="9" t="s">
        <v>2333</v>
      </c>
      <c r="C3" s="20" t="s">
        <v>2334</v>
      </c>
      <c r="D3" s="13" t="s">
        <v>2335</v>
      </c>
    </row>
    <row r="5" spans="1:11" ht="42" customHeight="1" x14ac:dyDescent="0.25">
      <c r="A5" s="1" t="s">
        <v>0</v>
      </c>
      <c r="B5" s="1" t="s">
        <v>1</v>
      </c>
      <c r="C5" s="1" t="s">
        <v>2336</v>
      </c>
      <c r="D5" s="1" t="s">
        <v>2337</v>
      </c>
      <c r="E5" s="1" t="s">
        <v>2338</v>
      </c>
      <c r="F5" s="1" t="s">
        <v>2339</v>
      </c>
      <c r="G5" s="1" t="s">
        <v>2340</v>
      </c>
      <c r="H5" s="1" t="s">
        <v>2341</v>
      </c>
      <c r="I5" s="1" t="s">
        <v>2342</v>
      </c>
      <c r="J5" s="1" t="s">
        <v>2343</v>
      </c>
      <c r="K5" s="1" t="s">
        <v>2344</v>
      </c>
    </row>
    <row r="6" spans="1:11" ht="24" x14ac:dyDescent="0.25">
      <c r="A6" s="2" t="s">
        <v>772</v>
      </c>
      <c r="B6" s="3" t="s">
        <v>773</v>
      </c>
      <c r="C6" s="4" t="str">
        <f>$C$3&amp;A6</f>
        <v>41800000</v>
      </c>
      <c r="D6" s="3" t="s">
        <v>773</v>
      </c>
      <c r="E6" s="2" t="s">
        <v>876</v>
      </c>
      <c r="F6" s="3" t="s">
        <v>980</v>
      </c>
      <c r="G6" s="3" t="s">
        <v>2345</v>
      </c>
      <c r="H6" s="3" t="s">
        <v>2346</v>
      </c>
      <c r="I6" s="21">
        <v>-33107404.73</v>
      </c>
      <c r="J6" s="4" t="str">
        <f>IF(COUNTIF('YCOA-Konten'!$A$5:$A$708,C6)&gt;0,"belegt",IF(COUNTIF($C$6:$C$90,C6)&gt;1,"doppelt","frei"))</f>
        <v>frei</v>
      </c>
      <c r="K6" s="3"/>
    </row>
    <row r="7" spans="1:11" ht="24" x14ac:dyDescent="0.25">
      <c r="A7" s="2" t="s">
        <v>775</v>
      </c>
      <c r="B7" s="3" t="s">
        <v>776</v>
      </c>
      <c r="C7" s="4" t="str">
        <f>$C$3&amp;A7</f>
        <v>41800001</v>
      </c>
      <c r="D7" s="3" t="s">
        <v>776</v>
      </c>
      <c r="E7" s="2" t="s">
        <v>876</v>
      </c>
      <c r="F7" s="3" t="s">
        <v>980</v>
      </c>
      <c r="G7" s="3" t="s">
        <v>2345</v>
      </c>
      <c r="H7" s="3" t="s">
        <v>2346</v>
      </c>
      <c r="I7" s="21">
        <v>-2527837.52</v>
      </c>
      <c r="J7" s="4" t="str">
        <f>IF(COUNTIF('YCOA-Konten'!$A$5:$A$708,C7)&gt;0,"belegt",IF(COUNTIF($C$6:$C$90,C7)&gt;1,"doppelt","frei"))</f>
        <v>frei</v>
      </c>
      <c r="K7" s="3"/>
    </row>
    <row r="8" spans="1:11" ht="24" x14ac:dyDescent="0.25">
      <c r="A8" s="2" t="s">
        <v>777</v>
      </c>
      <c r="B8" s="3" t="s">
        <v>778</v>
      </c>
      <c r="C8" s="4" t="str">
        <f>$C$3&amp;A8</f>
        <v>41800002</v>
      </c>
      <c r="D8" s="3" t="s">
        <v>778</v>
      </c>
      <c r="E8" s="2" t="s">
        <v>876</v>
      </c>
      <c r="F8" s="3" t="s">
        <v>980</v>
      </c>
      <c r="G8" s="3" t="s">
        <v>2345</v>
      </c>
      <c r="H8" s="3" t="s">
        <v>2346</v>
      </c>
      <c r="I8" s="21">
        <v>-8812148</v>
      </c>
      <c r="J8" s="4" t="str">
        <f>IF(COUNTIF('YCOA-Konten'!$A$5:$A$708,C8)&gt;0,"belegt",IF(COUNTIF($C$6:$C$90,C8)&gt;1,"doppelt","frei"))</f>
        <v>frei</v>
      </c>
      <c r="K8" s="3"/>
    </row>
    <row r="9" spans="1:11" ht="24" x14ac:dyDescent="0.25">
      <c r="A9" s="2" t="s">
        <v>787</v>
      </c>
      <c r="B9" s="3" t="s">
        <v>788</v>
      </c>
      <c r="C9" s="4" t="str">
        <f>$C$3&amp;A9</f>
        <v>41800010</v>
      </c>
      <c r="D9" s="3" t="s">
        <v>788</v>
      </c>
      <c r="E9" s="2" t="s">
        <v>876</v>
      </c>
      <c r="F9" s="3" t="s">
        <v>980</v>
      </c>
      <c r="G9" s="3" t="s">
        <v>2345</v>
      </c>
      <c r="H9" s="3" t="s">
        <v>2347</v>
      </c>
      <c r="I9" s="21">
        <v>-13462830.76</v>
      </c>
      <c r="J9" s="4" t="str">
        <f>IF(COUNTIF('YCOA-Konten'!$A$5:$A$708,C9)&gt;0,"belegt",IF(COUNTIF($C$6:$C$90,C9)&gt;1,"doppelt","frei"))</f>
        <v>frei</v>
      </c>
      <c r="K9" s="3"/>
    </row>
    <row r="10" spans="1:11" ht="24" x14ac:dyDescent="0.25">
      <c r="A10" s="2" t="s">
        <v>783</v>
      </c>
      <c r="B10" s="3" t="s">
        <v>784</v>
      </c>
      <c r="C10" s="4" t="str">
        <f>$C$3&amp;A10</f>
        <v>41800020</v>
      </c>
      <c r="D10" s="3" t="s">
        <v>784</v>
      </c>
      <c r="E10" s="2" t="s">
        <v>876</v>
      </c>
      <c r="F10" s="3" t="s">
        <v>980</v>
      </c>
      <c r="G10" s="3" t="s">
        <v>2345</v>
      </c>
      <c r="H10" s="3" t="s">
        <v>2346</v>
      </c>
      <c r="I10" s="21">
        <v>-1693316.64</v>
      </c>
      <c r="J10" s="4" t="str">
        <f>IF(COUNTIF('YCOA-Konten'!$A$5:$A$708,C10)&gt;0,"belegt",IF(COUNTIF($C$6:$C$90,C10)&gt;1,"doppelt","frei"))</f>
        <v>frei</v>
      </c>
      <c r="K10" s="3"/>
    </row>
    <row r="11" spans="1:11" ht="24" x14ac:dyDescent="0.25">
      <c r="A11" s="2" t="s">
        <v>794</v>
      </c>
      <c r="B11" s="3" t="s">
        <v>795</v>
      </c>
      <c r="C11" s="4" t="str">
        <f>$C$3&amp;A11</f>
        <v>41800110</v>
      </c>
      <c r="D11" s="3" t="s">
        <v>795</v>
      </c>
      <c r="E11" s="2" t="s">
        <v>876</v>
      </c>
      <c r="F11" s="3" t="s">
        <v>980</v>
      </c>
      <c r="G11" s="3" t="s">
        <v>2345</v>
      </c>
      <c r="H11" s="3" t="s">
        <v>2347</v>
      </c>
      <c r="I11" s="21">
        <v>-71318906.640000001</v>
      </c>
      <c r="J11" s="4" t="str">
        <f>IF(COUNTIF('YCOA-Konten'!$A$5:$A$708,C11)&gt;0,"belegt",IF(COUNTIF($C$6:$C$90,C11)&gt;1,"doppelt","frei"))</f>
        <v>frei</v>
      </c>
      <c r="K11" s="3"/>
    </row>
    <row r="12" spans="1:11" ht="24" x14ac:dyDescent="0.25">
      <c r="A12" s="2" t="s">
        <v>796</v>
      </c>
      <c r="B12" s="3" t="s">
        <v>797</v>
      </c>
      <c r="C12" s="4" t="str">
        <f>$C$3&amp;A12</f>
        <v>41800111</v>
      </c>
      <c r="D12" s="3" t="s">
        <v>797</v>
      </c>
      <c r="E12" s="2" t="s">
        <v>876</v>
      </c>
      <c r="F12" s="3" t="s">
        <v>980</v>
      </c>
      <c r="G12" s="3" t="s">
        <v>2345</v>
      </c>
      <c r="H12" s="3" t="s">
        <v>2347</v>
      </c>
      <c r="I12" s="21">
        <v>-94890995.519999996</v>
      </c>
      <c r="J12" s="4" t="str">
        <f>IF(COUNTIF('YCOA-Konten'!$A$5:$A$708,C12)&gt;0,"belegt",IF(COUNTIF($C$6:$C$90,C12)&gt;1,"doppelt","frei"))</f>
        <v>frei</v>
      </c>
      <c r="K12" s="3"/>
    </row>
    <row r="13" spans="1:11" ht="24" x14ac:dyDescent="0.25">
      <c r="A13" s="2" t="s">
        <v>766</v>
      </c>
      <c r="B13" s="3" t="s">
        <v>767</v>
      </c>
      <c r="C13" s="4" t="str">
        <f>$C$3&amp;A13</f>
        <v>41800400</v>
      </c>
      <c r="D13" s="3" t="s">
        <v>767</v>
      </c>
      <c r="E13" s="2" t="s">
        <v>876</v>
      </c>
      <c r="F13" s="3" t="s">
        <v>980</v>
      </c>
      <c r="G13" s="3" t="s">
        <v>2345</v>
      </c>
      <c r="H13" s="3" t="s">
        <v>2348</v>
      </c>
      <c r="I13" s="21">
        <v>-10936521.359999999</v>
      </c>
      <c r="J13" s="4" t="str">
        <f>IF(COUNTIF('YCOA-Konten'!$A$5:$A$708,C13)&gt;0,"belegt",IF(COUNTIF($C$6:$C$90,C13)&gt;1,"doppelt","frei"))</f>
        <v>frei</v>
      </c>
      <c r="K13" s="3"/>
    </row>
    <row r="14" spans="1:11" ht="24" x14ac:dyDescent="0.25">
      <c r="A14" s="2" t="s">
        <v>798</v>
      </c>
      <c r="B14" s="3" t="s">
        <v>799</v>
      </c>
      <c r="C14" s="4" t="str">
        <f>$C$3&amp;A14</f>
        <v>41800420</v>
      </c>
      <c r="D14" s="3" t="s">
        <v>799</v>
      </c>
      <c r="E14" s="2" t="s">
        <v>876</v>
      </c>
      <c r="F14" s="3" t="s">
        <v>980</v>
      </c>
      <c r="G14" s="3" t="s">
        <v>2345</v>
      </c>
      <c r="H14" s="3" t="s">
        <v>2347</v>
      </c>
      <c r="I14" s="21">
        <v>-2220821.79</v>
      </c>
      <c r="J14" s="4" t="str">
        <f>IF(COUNTIF('YCOA-Konten'!$A$5:$A$708,C14)&gt;0,"belegt",IF(COUNTIF($C$6:$C$90,C14)&gt;1,"doppelt","frei"))</f>
        <v>frei</v>
      </c>
      <c r="K14" s="3"/>
    </row>
    <row r="15" spans="1:11" ht="24" x14ac:dyDescent="0.25">
      <c r="A15" s="2" t="s">
        <v>800</v>
      </c>
      <c r="B15" s="3" t="s">
        <v>801</v>
      </c>
      <c r="C15" s="4" t="str">
        <f>$C$3&amp;A15</f>
        <v>41800430</v>
      </c>
      <c r="D15" s="3" t="s">
        <v>801</v>
      </c>
      <c r="E15" s="2" t="s">
        <v>876</v>
      </c>
      <c r="F15" s="3" t="s">
        <v>980</v>
      </c>
      <c r="G15" s="3" t="s">
        <v>2345</v>
      </c>
      <c r="H15" s="3" t="s">
        <v>2347</v>
      </c>
      <c r="I15" s="21">
        <v>-14168785.949999999</v>
      </c>
      <c r="J15" s="4" t="str">
        <f>IF(COUNTIF('YCOA-Konten'!$A$5:$A$708,C15)&gt;0,"belegt",IF(COUNTIF($C$6:$C$90,C15)&gt;1,"doppelt","frei"))</f>
        <v>frei</v>
      </c>
      <c r="K15" s="3"/>
    </row>
    <row r="16" spans="1:11" ht="24" x14ac:dyDescent="0.25">
      <c r="A16" s="2" t="s">
        <v>809</v>
      </c>
      <c r="B16" s="3" t="s">
        <v>810</v>
      </c>
      <c r="C16" s="4" t="str">
        <f>$C$3&amp;A16</f>
        <v>41801000</v>
      </c>
      <c r="D16" s="3" t="s">
        <v>810</v>
      </c>
      <c r="E16" s="2" t="s">
        <v>876</v>
      </c>
      <c r="F16" s="3" t="s">
        <v>980</v>
      </c>
      <c r="G16" s="3" t="s">
        <v>2345</v>
      </c>
      <c r="H16" s="3" t="s">
        <v>2349</v>
      </c>
      <c r="I16" s="21">
        <v>-3237343.6</v>
      </c>
      <c r="J16" s="4" t="str">
        <f>IF(COUNTIF('YCOA-Konten'!$A$5:$A$708,C16)&gt;0,"belegt",IF(COUNTIF($C$6:$C$90,C16)&gt;1,"doppelt","frei"))</f>
        <v>frei</v>
      </c>
      <c r="K16" s="3"/>
    </row>
    <row r="17" spans="1:11" ht="24" x14ac:dyDescent="0.25">
      <c r="A17" s="2" t="s">
        <v>812</v>
      </c>
      <c r="B17" s="3" t="s">
        <v>813</v>
      </c>
      <c r="C17" s="4" t="str">
        <f>$C$3&amp;A17</f>
        <v>41810030</v>
      </c>
      <c r="D17" s="3" t="s">
        <v>813</v>
      </c>
      <c r="E17" s="2" t="s">
        <v>876</v>
      </c>
      <c r="F17" s="3" t="s">
        <v>980</v>
      </c>
      <c r="G17" s="3" t="s">
        <v>2345</v>
      </c>
      <c r="H17" s="3" t="s">
        <v>2350</v>
      </c>
      <c r="I17" s="21">
        <v>-5844947.3600000003</v>
      </c>
      <c r="J17" s="4" t="str">
        <f>IF(COUNTIF('YCOA-Konten'!$A$5:$A$708,C17)&gt;0,"belegt",IF(COUNTIF($C$6:$C$90,C17)&gt;1,"doppelt","frei"))</f>
        <v>frei</v>
      </c>
      <c r="K17" s="3"/>
    </row>
    <row r="18" spans="1:11" ht="24" x14ac:dyDescent="0.25">
      <c r="A18" s="2" t="s">
        <v>816</v>
      </c>
      <c r="B18" s="3" t="s">
        <v>817</v>
      </c>
      <c r="C18" s="4" t="str">
        <f>$C$3&amp;A18</f>
        <v>41810032</v>
      </c>
      <c r="D18" s="3" t="s">
        <v>817</v>
      </c>
      <c r="E18" s="2" t="s">
        <v>876</v>
      </c>
      <c r="F18" s="3" t="s">
        <v>980</v>
      </c>
      <c r="G18" s="3" t="s">
        <v>2345</v>
      </c>
      <c r="H18" s="3" t="s">
        <v>2350</v>
      </c>
      <c r="I18" s="21">
        <v>-1497023.43</v>
      </c>
      <c r="J18" s="4" t="str">
        <f>IF(COUNTIF('YCOA-Konten'!$A$5:$A$708,C18)&gt;0,"belegt",IF(COUNTIF($C$6:$C$90,C18)&gt;1,"doppelt","frei"))</f>
        <v>frei</v>
      </c>
      <c r="K18" s="3"/>
    </row>
    <row r="19" spans="1:11" ht="24" x14ac:dyDescent="0.25">
      <c r="A19" s="2" t="s">
        <v>785</v>
      </c>
      <c r="B19" s="3" t="s">
        <v>786</v>
      </c>
      <c r="C19" s="4" t="str">
        <f>$C$3&amp;A19</f>
        <v>41810050</v>
      </c>
      <c r="D19" s="3" t="s">
        <v>786</v>
      </c>
      <c r="E19" s="2" t="s">
        <v>876</v>
      </c>
      <c r="F19" s="3" t="s">
        <v>980</v>
      </c>
      <c r="G19" s="3" t="s">
        <v>2345</v>
      </c>
      <c r="H19" s="3" t="s">
        <v>2346</v>
      </c>
      <c r="I19" s="21">
        <v>-4644477</v>
      </c>
      <c r="J19" s="4" t="str">
        <f>IF(COUNTIF('YCOA-Konten'!$A$5:$A$708,C19)&gt;0,"belegt",IF(COUNTIF($C$6:$C$90,C19)&gt;1,"doppelt","frei"))</f>
        <v>frei</v>
      </c>
      <c r="K19" s="3"/>
    </row>
    <row r="20" spans="1:11" ht="24" x14ac:dyDescent="0.25">
      <c r="A20" s="2" t="s">
        <v>818</v>
      </c>
      <c r="B20" s="3" t="s">
        <v>819</v>
      </c>
      <c r="C20" s="4" t="str">
        <f>$C$3&amp;A20</f>
        <v>41811010</v>
      </c>
      <c r="D20" s="3" t="s">
        <v>819</v>
      </c>
      <c r="E20" s="2" t="s">
        <v>876</v>
      </c>
      <c r="F20" s="3" t="s">
        <v>980</v>
      </c>
      <c r="G20" s="3" t="s">
        <v>2345</v>
      </c>
      <c r="H20" s="3" t="s">
        <v>2351</v>
      </c>
      <c r="I20" s="21">
        <v>-989.55</v>
      </c>
      <c r="J20" s="4" t="str">
        <f>IF(COUNTIF('YCOA-Konten'!$A$5:$A$708,C20)&gt;0,"belegt",IF(COUNTIF($C$6:$C$90,C20)&gt;1,"doppelt","frei"))</f>
        <v>frei</v>
      </c>
      <c r="K20" s="3"/>
    </row>
    <row r="21" spans="1:11" ht="24" x14ac:dyDescent="0.25">
      <c r="A21" s="2" t="s">
        <v>821</v>
      </c>
      <c r="B21" s="3" t="s">
        <v>822</v>
      </c>
      <c r="C21" s="4" t="str">
        <f>$C$3&amp;A21</f>
        <v>41811020</v>
      </c>
      <c r="D21" s="3" t="s">
        <v>822</v>
      </c>
      <c r="E21" s="2" t="s">
        <v>876</v>
      </c>
      <c r="F21" s="3" t="s">
        <v>980</v>
      </c>
      <c r="G21" s="3" t="s">
        <v>2345</v>
      </c>
      <c r="H21" s="3" t="s">
        <v>2351</v>
      </c>
      <c r="I21" s="21">
        <v>-1622558.86</v>
      </c>
      <c r="J21" s="4" t="str">
        <f>IF(COUNTIF('YCOA-Konten'!$A$5:$A$708,C21)&gt;0,"belegt",IF(COUNTIF($C$6:$C$90,C21)&gt;1,"doppelt","frei"))</f>
        <v>frei</v>
      </c>
      <c r="K21" s="3"/>
    </row>
    <row r="22" spans="1:11" ht="24" x14ac:dyDescent="0.25">
      <c r="A22" s="2" t="s">
        <v>823</v>
      </c>
      <c r="B22" s="3" t="s">
        <v>824</v>
      </c>
      <c r="C22" s="4" t="str">
        <f>$C$3&amp;A22</f>
        <v>41811040</v>
      </c>
      <c r="D22" s="3" t="s">
        <v>824</v>
      </c>
      <c r="E22" s="2" t="s">
        <v>876</v>
      </c>
      <c r="F22" s="3" t="s">
        <v>980</v>
      </c>
      <c r="G22" s="3" t="s">
        <v>2345</v>
      </c>
      <c r="H22" s="3" t="s">
        <v>2351</v>
      </c>
      <c r="I22" s="21">
        <v>-1067506.7</v>
      </c>
      <c r="J22" s="4" t="str">
        <f>IF(COUNTIF('YCOA-Konten'!$A$5:$A$708,C22)&gt;0,"belegt",IF(COUNTIF($C$6:$C$90,C22)&gt;1,"doppelt","frei"))</f>
        <v>frei</v>
      </c>
      <c r="K22" s="3"/>
    </row>
    <row r="23" spans="1:11" ht="24" x14ac:dyDescent="0.25">
      <c r="A23" s="2" t="s">
        <v>2127</v>
      </c>
      <c r="B23" s="3" t="s">
        <v>2128</v>
      </c>
      <c r="C23" s="4" t="str">
        <f>$C$3&amp;A23</f>
        <v>41811090</v>
      </c>
      <c r="D23" s="3" t="s">
        <v>2128</v>
      </c>
      <c r="E23" s="2" t="s">
        <v>876</v>
      </c>
      <c r="F23" s="3" t="s">
        <v>980</v>
      </c>
      <c r="G23" s="3" t="s">
        <v>2345</v>
      </c>
      <c r="H23" s="3" t="s">
        <v>2352</v>
      </c>
      <c r="I23" s="21"/>
      <c r="J23" s="4" t="str">
        <f>IF(COUNTIF('YCOA-Konten'!$A$5:$A$708,C23)&gt;0,"belegt",IF(COUNTIF($C$6:$C$90,C23)&gt;1,"doppelt","frei"))</f>
        <v>frei</v>
      </c>
      <c r="K23" s="3" t="s">
        <v>2353</v>
      </c>
    </row>
    <row r="24" spans="1:11" ht="24" x14ac:dyDescent="0.25">
      <c r="A24" s="2" t="s">
        <v>825</v>
      </c>
      <c r="B24" s="3" t="s">
        <v>826</v>
      </c>
      <c r="C24" s="4" t="str">
        <f>$C$3&amp;A24</f>
        <v>41811110</v>
      </c>
      <c r="D24" s="3" t="s">
        <v>826</v>
      </c>
      <c r="E24" s="2" t="s">
        <v>876</v>
      </c>
      <c r="F24" s="3" t="s">
        <v>980</v>
      </c>
      <c r="G24" s="3" t="s">
        <v>2345</v>
      </c>
      <c r="H24" s="3" t="s">
        <v>2351</v>
      </c>
      <c r="I24" s="21">
        <v>-27731.27</v>
      </c>
      <c r="J24" s="4" t="str">
        <f>IF(COUNTIF('YCOA-Konten'!$A$5:$A$708,C24)&gt;0,"belegt",IF(COUNTIF($C$6:$C$90,C24)&gt;1,"doppelt","frei"))</f>
        <v>frei</v>
      </c>
      <c r="K24" s="3"/>
    </row>
    <row r="25" spans="1:11" ht="24" x14ac:dyDescent="0.25">
      <c r="A25" s="2" t="s">
        <v>2130</v>
      </c>
      <c r="B25" s="3" t="s">
        <v>2131</v>
      </c>
      <c r="C25" s="4" t="str">
        <f>$C$3&amp;A25</f>
        <v>41811120</v>
      </c>
      <c r="D25" s="3" t="s">
        <v>2131</v>
      </c>
      <c r="E25" s="2" t="s">
        <v>876</v>
      </c>
      <c r="F25" s="3" t="s">
        <v>980</v>
      </c>
      <c r="G25" s="3" t="s">
        <v>2345</v>
      </c>
      <c r="H25" s="3" t="s">
        <v>2352</v>
      </c>
      <c r="I25" s="21"/>
      <c r="J25" s="4" t="str">
        <f>IF(COUNTIF('YCOA-Konten'!$A$5:$A$708,C25)&gt;0,"belegt",IF(COUNTIF($C$6:$C$90,C25)&gt;1,"doppelt","frei"))</f>
        <v>frei</v>
      </c>
      <c r="K25" s="3" t="s">
        <v>2353</v>
      </c>
    </row>
    <row r="26" spans="1:11" ht="24" x14ac:dyDescent="0.25">
      <c r="A26" s="2" t="s">
        <v>2133</v>
      </c>
      <c r="B26" s="3" t="s">
        <v>2134</v>
      </c>
      <c r="C26" s="4" t="str">
        <f>$C$3&amp;A26</f>
        <v>41811121</v>
      </c>
      <c r="D26" s="3" t="s">
        <v>2134</v>
      </c>
      <c r="E26" s="2" t="s">
        <v>876</v>
      </c>
      <c r="F26" s="3" t="s">
        <v>980</v>
      </c>
      <c r="G26" s="3" t="s">
        <v>2345</v>
      </c>
      <c r="H26" s="3" t="s">
        <v>2352</v>
      </c>
      <c r="I26" s="21"/>
      <c r="J26" s="4" t="str">
        <f>IF(COUNTIF('YCOA-Konten'!$A$5:$A$708,C26)&gt;0,"belegt",IF(COUNTIF($C$6:$C$90,C26)&gt;1,"doppelt","frei"))</f>
        <v>frei</v>
      </c>
      <c r="K26" s="3" t="s">
        <v>2353</v>
      </c>
    </row>
    <row r="27" spans="1:11" ht="24" x14ac:dyDescent="0.25">
      <c r="A27" s="2" t="s">
        <v>830</v>
      </c>
      <c r="B27" s="3" t="s">
        <v>831</v>
      </c>
      <c r="C27" s="4" t="str">
        <f>$C$3&amp;A27</f>
        <v>41811130</v>
      </c>
      <c r="D27" s="3" t="s">
        <v>831</v>
      </c>
      <c r="E27" s="2" t="s">
        <v>876</v>
      </c>
      <c r="F27" s="3" t="s">
        <v>980</v>
      </c>
      <c r="G27" s="3" t="s">
        <v>2345</v>
      </c>
      <c r="H27" s="3" t="s">
        <v>2351</v>
      </c>
      <c r="I27" s="21">
        <v>-450628.26</v>
      </c>
      <c r="J27" s="4" t="str">
        <f>IF(COUNTIF('YCOA-Konten'!$A$5:$A$708,C27)&gt;0,"belegt",IF(COUNTIF($C$6:$C$90,C27)&gt;1,"doppelt","frei"))</f>
        <v>frei</v>
      </c>
      <c r="K27" s="3"/>
    </row>
    <row r="28" spans="1:11" ht="24" x14ac:dyDescent="0.25">
      <c r="A28" s="2" t="s">
        <v>971</v>
      </c>
      <c r="B28" s="3" t="s">
        <v>972</v>
      </c>
      <c r="C28" s="4" t="str">
        <f>$C$3&amp;A28</f>
        <v>41813051</v>
      </c>
      <c r="D28" s="3" t="s">
        <v>972</v>
      </c>
      <c r="E28" s="2" t="s">
        <v>876</v>
      </c>
      <c r="F28" s="3" t="s">
        <v>980</v>
      </c>
      <c r="G28" s="3" t="s">
        <v>2345</v>
      </c>
      <c r="H28" s="3" t="s">
        <v>2354</v>
      </c>
      <c r="I28" s="21">
        <v>-7156311.8700000001</v>
      </c>
      <c r="J28" s="4" t="str">
        <f>IF(COUNTIF('YCOA-Konten'!$A$5:$A$708,C28)&gt;0,"belegt",IF(COUNTIF($C$6:$C$90,C28)&gt;1,"doppelt","frei"))</f>
        <v>frei</v>
      </c>
      <c r="K28" s="3"/>
    </row>
    <row r="29" spans="1:11" ht="24" x14ac:dyDescent="0.25">
      <c r="A29" s="2" t="s">
        <v>832</v>
      </c>
      <c r="B29" s="3" t="s">
        <v>833</v>
      </c>
      <c r="C29" s="4" t="str">
        <f>$C$3&amp;A29</f>
        <v>41820000</v>
      </c>
      <c r="D29" s="3" t="s">
        <v>833</v>
      </c>
      <c r="E29" s="2" t="s">
        <v>876</v>
      </c>
      <c r="F29" s="3" t="s">
        <v>980</v>
      </c>
      <c r="G29" s="3" t="s">
        <v>2345</v>
      </c>
      <c r="H29" s="3" t="s">
        <v>2355</v>
      </c>
      <c r="I29" s="21">
        <v>-1415304.36</v>
      </c>
      <c r="J29" s="4" t="str">
        <f>IF(COUNTIF('YCOA-Konten'!$A$5:$A$708,C29)&gt;0,"belegt",IF(COUNTIF($C$6:$C$90,C29)&gt;1,"doppelt","frei"))</f>
        <v>frei</v>
      </c>
      <c r="K29" s="3" t="s">
        <v>2356</v>
      </c>
    </row>
    <row r="30" spans="1:11" ht="24" x14ac:dyDescent="0.25">
      <c r="A30" s="2" t="s">
        <v>838</v>
      </c>
      <c r="B30" s="3" t="s">
        <v>839</v>
      </c>
      <c r="C30" s="4" t="str">
        <f>$C$3&amp;A30</f>
        <v>41820003</v>
      </c>
      <c r="D30" s="3" t="s">
        <v>839</v>
      </c>
      <c r="E30" s="2" t="s">
        <v>876</v>
      </c>
      <c r="F30" s="3" t="s">
        <v>980</v>
      </c>
      <c r="G30" s="3" t="s">
        <v>2345</v>
      </c>
      <c r="H30" s="3" t="s">
        <v>2355</v>
      </c>
      <c r="I30" s="21">
        <v>-1078826.5900000001</v>
      </c>
      <c r="J30" s="4" t="str">
        <f>IF(COUNTIF('YCOA-Konten'!$A$5:$A$708,C30)&gt;0,"belegt",IF(COUNTIF($C$6:$C$90,C30)&gt;1,"doppelt","frei"))</f>
        <v>frei</v>
      </c>
      <c r="K30" s="3" t="s">
        <v>2356</v>
      </c>
    </row>
    <row r="31" spans="1:11" ht="24" x14ac:dyDescent="0.25">
      <c r="A31" s="2" t="s">
        <v>2135</v>
      </c>
      <c r="B31" s="3" t="s">
        <v>2136</v>
      </c>
      <c r="C31" s="4" t="str">
        <f>$C$3&amp;A31</f>
        <v>41820004</v>
      </c>
      <c r="D31" s="3" t="s">
        <v>2136</v>
      </c>
      <c r="E31" s="2" t="s">
        <v>2222</v>
      </c>
      <c r="F31" s="3" t="s">
        <v>2223</v>
      </c>
      <c r="G31" s="3" t="s">
        <v>2345</v>
      </c>
      <c r="H31" s="3" t="s">
        <v>2357</v>
      </c>
      <c r="I31" s="21"/>
      <c r="J31" s="4" t="str">
        <f>IF(COUNTIF('YCOA-Konten'!$A$5:$A$708,C31)&gt;0,"belegt",IF(COUNTIF($C$6:$C$90,C31)&gt;1,"doppelt","frei"))</f>
        <v>frei</v>
      </c>
      <c r="K31" s="3" t="s">
        <v>2358</v>
      </c>
    </row>
    <row r="32" spans="1:11" ht="24" x14ac:dyDescent="0.25">
      <c r="A32" s="2" t="s">
        <v>840</v>
      </c>
      <c r="B32" s="3" t="s">
        <v>841</v>
      </c>
      <c r="C32" s="4" t="str">
        <f>$C$3&amp;A32</f>
        <v>41820030</v>
      </c>
      <c r="D32" s="3" t="s">
        <v>841</v>
      </c>
      <c r="E32" s="2" t="s">
        <v>876</v>
      </c>
      <c r="F32" s="3" t="s">
        <v>980</v>
      </c>
      <c r="G32" s="3" t="s">
        <v>2345</v>
      </c>
      <c r="H32" s="3" t="s">
        <v>2355</v>
      </c>
      <c r="I32" s="21">
        <v>-231863.81</v>
      </c>
      <c r="J32" s="4" t="str">
        <f>IF(COUNTIF('YCOA-Konten'!$A$5:$A$708,C32)&gt;0,"belegt",IF(COUNTIF($C$6:$C$90,C32)&gt;1,"doppelt","frei"))</f>
        <v>frei</v>
      </c>
      <c r="K32" s="3" t="s">
        <v>2356</v>
      </c>
    </row>
    <row r="33" spans="1:11" ht="24" x14ac:dyDescent="0.25">
      <c r="A33" s="2" t="s">
        <v>846</v>
      </c>
      <c r="B33" s="3" t="s">
        <v>847</v>
      </c>
      <c r="C33" s="4" t="str">
        <f>$C$3&amp;A33</f>
        <v>41820031</v>
      </c>
      <c r="D33" s="3" t="s">
        <v>847</v>
      </c>
      <c r="E33" s="2" t="s">
        <v>876</v>
      </c>
      <c r="F33" s="3" t="s">
        <v>980</v>
      </c>
      <c r="G33" s="3" t="s">
        <v>2345</v>
      </c>
      <c r="H33" s="3" t="s">
        <v>2355</v>
      </c>
      <c r="I33" s="21">
        <v>-1110992.06</v>
      </c>
      <c r="J33" s="4" t="str">
        <f>IF(COUNTIF('YCOA-Konten'!$A$5:$A$708,C33)&gt;0,"belegt",IF(COUNTIF($C$6:$C$90,C33)&gt;1,"doppelt","frei"))</f>
        <v>frei</v>
      </c>
      <c r="K33" s="3" t="s">
        <v>2356</v>
      </c>
    </row>
    <row r="34" spans="1:11" ht="24" x14ac:dyDescent="0.25">
      <c r="A34" s="2" t="s">
        <v>848</v>
      </c>
      <c r="B34" s="3" t="s">
        <v>849</v>
      </c>
      <c r="C34" s="4" t="str">
        <f>$C$3&amp;A34</f>
        <v>41820033</v>
      </c>
      <c r="D34" s="3" t="s">
        <v>849</v>
      </c>
      <c r="E34" s="2" t="s">
        <v>876</v>
      </c>
      <c r="F34" s="3" t="s">
        <v>980</v>
      </c>
      <c r="G34" s="3" t="s">
        <v>2345</v>
      </c>
      <c r="H34" s="3" t="s">
        <v>2355</v>
      </c>
      <c r="I34" s="21">
        <v>-205955.93</v>
      </c>
      <c r="J34" s="4" t="str">
        <f>IF(COUNTIF('YCOA-Konten'!$A$5:$A$708,C34)&gt;0,"belegt",IF(COUNTIF($C$6:$C$90,C34)&gt;1,"doppelt","frei"))</f>
        <v>frei</v>
      </c>
      <c r="K34" s="3" t="s">
        <v>2356</v>
      </c>
    </row>
    <row r="35" spans="1:11" ht="24" x14ac:dyDescent="0.25">
      <c r="A35" s="2" t="s">
        <v>850</v>
      </c>
      <c r="B35" s="3" t="s">
        <v>851</v>
      </c>
      <c r="C35" s="4" t="str">
        <f>$C$3&amp;A35</f>
        <v>41820034</v>
      </c>
      <c r="D35" s="3" t="s">
        <v>851</v>
      </c>
      <c r="E35" s="2" t="s">
        <v>876</v>
      </c>
      <c r="F35" s="3" t="s">
        <v>980</v>
      </c>
      <c r="G35" s="3" t="s">
        <v>2345</v>
      </c>
      <c r="H35" s="3" t="s">
        <v>2355</v>
      </c>
      <c r="I35" s="21">
        <v>-224555.4</v>
      </c>
      <c r="J35" s="4" t="str">
        <f>IF(COUNTIF('YCOA-Konten'!$A$5:$A$708,C35)&gt;0,"belegt",IF(COUNTIF($C$6:$C$90,C35)&gt;1,"doppelt","frei"))</f>
        <v>frei</v>
      </c>
      <c r="K35" s="3" t="s">
        <v>2356</v>
      </c>
    </row>
    <row r="36" spans="1:11" ht="24" x14ac:dyDescent="0.25">
      <c r="A36" s="2" t="s">
        <v>852</v>
      </c>
      <c r="B36" s="3" t="s">
        <v>853</v>
      </c>
      <c r="C36" s="4" t="str">
        <f>$C$3&amp;A36</f>
        <v>41820059</v>
      </c>
      <c r="D36" s="3" t="s">
        <v>853</v>
      </c>
      <c r="E36" s="2" t="s">
        <v>876</v>
      </c>
      <c r="F36" s="3" t="s">
        <v>980</v>
      </c>
      <c r="G36" s="3" t="s">
        <v>2345</v>
      </c>
      <c r="H36" s="3" t="s">
        <v>2355</v>
      </c>
      <c r="I36" s="21">
        <v>-245202.02</v>
      </c>
      <c r="J36" s="4" t="str">
        <f>IF(COUNTIF('YCOA-Konten'!$A$5:$A$708,C36)&gt;0,"belegt",IF(COUNTIF($C$6:$C$90,C36)&gt;1,"doppelt","frei"))</f>
        <v>frei</v>
      </c>
      <c r="K36" s="3" t="s">
        <v>2356</v>
      </c>
    </row>
    <row r="37" spans="1:11" ht="24" x14ac:dyDescent="0.25">
      <c r="A37" s="2" t="s">
        <v>857</v>
      </c>
      <c r="B37" s="3" t="s">
        <v>858</v>
      </c>
      <c r="C37" s="4" t="str">
        <f>$C$3&amp;A37</f>
        <v>41820060</v>
      </c>
      <c r="D37" s="3" t="s">
        <v>858</v>
      </c>
      <c r="E37" s="2" t="s">
        <v>876</v>
      </c>
      <c r="F37" s="3" t="s">
        <v>980</v>
      </c>
      <c r="G37" s="3" t="s">
        <v>2345</v>
      </c>
      <c r="H37" s="3" t="s">
        <v>2355</v>
      </c>
      <c r="I37" s="21">
        <v>-7458709.1399999997</v>
      </c>
      <c r="J37" s="4" t="str">
        <f>IF(COUNTIF('YCOA-Konten'!$A$5:$A$708,C37)&gt;0,"belegt",IF(COUNTIF($C$6:$C$90,C37)&gt;1,"doppelt","frei"))</f>
        <v>frei</v>
      </c>
      <c r="K37" s="3" t="s">
        <v>2356</v>
      </c>
    </row>
    <row r="38" spans="1:11" ht="24" x14ac:dyDescent="0.25">
      <c r="A38" s="2" t="s">
        <v>859</v>
      </c>
      <c r="B38" s="3" t="s">
        <v>860</v>
      </c>
      <c r="C38" s="4" t="str">
        <f>$C$3&amp;A38</f>
        <v>41820061</v>
      </c>
      <c r="D38" s="3" t="s">
        <v>860</v>
      </c>
      <c r="E38" s="2" t="s">
        <v>876</v>
      </c>
      <c r="F38" s="3" t="s">
        <v>980</v>
      </c>
      <c r="G38" s="3" t="s">
        <v>2345</v>
      </c>
      <c r="H38" s="3" t="s">
        <v>2355</v>
      </c>
      <c r="I38" s="21">
        <v>-6053784.3200000003</v>
      </c>
      <c r="J38" s="4" t="str">
        <f>IF(COUNTIF('YCOA-Konten'!$A$5:$A$708,C38)&gt;0,"belegt",IF(COUNTIF($C$6:$C$90,C38)&gt;1,"doppelt","frei"))</f>
        <v>frei</v>
      </c>
      <c r="K38" s="3" t="s">
        <v>2356</v>
      </c>
    </row>
    <row r="39" spans="1:11" ht="24" x14ac:dyDescent="0.25">
      <c r="A39" s="2" t="s">
        <v>864</v>
      </c>
      <c r="B39" s="3" t="s">
        <v>865</v>
      </c>
      <c r="C39" s="4" t="str">
        <f>$C$3&amp;A39</f>
        <v>41820062</v>
      </c>
      <c r="D39" s="3" t="s">
        <v>865</v>
      </c>
      <c r="E39" s="2" t="s">
        <v>876</v>
      </c>
      <c r="F39" s="3" t="s">
        <v>980</v>
      </c>
      <c r="G39" s="3" t="s">
        <v>2345</v>
      </c>
      <c r="H39" s="3" t="s">
        <v>2355</v>
      </c>
      <c r="I39" s="21">
        <v>-364634.52</v>
      </c>
      <c r="J39" s="4" t="str">
        <f>IF(COUNTIF('YCOA-Konten'!$A$5:$A$708,C39)&gt;0,"belegt",IF(COUNTIF($C$6:$C$90,C39)&gt;1,"doppelt","frei"))</f>
        <v>frei</v>
      </c>
      <c r="K39" s="3" t="s">
        <v>2356</v>
      </c>
    </row>
    <row r="40" spans="1:11" ht="24" x14ac:dyDescent="0.25">
      <c r="A40" s="2" t="s">
        <v>866</v>
      </c>
      <c r="B40" s="3" t="s">
        <v>867</v>
      </c>
      <c r="C40" s="4" t="str">
        <f>$C$3&amp;A40</f>
        <v>41820063</v>
      </c>
      <c r="D40" s="3" t="s">
        <v>867</v>
      </c>
      <c r="E40" s="2" t="s">
        <v>876</v>
      </c>
      <c r="F40" s="3" t="s">
        <v>980</v>
      </c>
      <c r="G40" s="3" t="s">
        <v>2345</v>
      </c>
      <c r="H40" s="3" t="s">
        <v>2355</v>
      </c>
      <c r="I40" s="21">
        <v>-594569.34</v>
      </c>
      <c r="J40" s="4" t="str">
        <f>IF(COUNTIF('YCOA-Konten'!$A$5:$A$708,C40)&gt;0,"belegt",IF(COUNTIF($C$6:$C$90,C40)&gt;1,"doppelt","frei"))</f>
        <v>frei</v>
      </c>
      <c r="K40" s="3" t="s">
        <v>2356</v>
      </c>
    </row>
    <row r="41" spans="1:11" ht="24" x14ac:dyDescent="0.25">
      <c r="A41" s="2" t="s">
        <v>868</v>
      </c>
      <c r="B41" s="3" t="s">
        <v>869</v>
      </c>
      <c r="C41" s="4" t="str">
        <f>$C$3&amp;A41</f>
        <v>41820064</v>
      </c>
      <c r="D41" s="3" t="s">
        <v>869</v>
      </c>
      <c r="E41" s="2" t="s">
        <v>876</v>
      </c>
      <c r="F41" s="3" t="s">
        <v>980</v>
      </c>
      <c r="G41" s="3" t="s">
        <v>2345</v>
      </c>
      <c r="H41" s="3" t="s">
        <v>2355</v>
      </c>
      <c r="I41" s="21">
        <v>-22865652.170000002</v>
      </c>
      <c r="J41" s="4" t="str">
        <f>IF(COUNTIF('YCOA-Konten'!$A$5:$A$708,C41)&gt;0,"belegt",IF(COUNTIF($C$6:$C$90,C41)&gt;1,"doppelt","frei"))</f>
        <v>frei</v>
      </c>
      <c r="K41" s="3" t="s">
        <v>2356</v>
      </c>
    </row>
    <row r="42" spans="1:11" ht="24" x14ac:dyDescent="0.25">
      <c r="A42" s="2" t="s">
        <v>870</v>
      </c>
      <c r="B42" s="3" t="s">
        <v>871</v>
      </c>
      <c r="C42" s="4" t="str">
        <f>$C$3&amp;A42</f>
        <v>41820065</v>
      </c>
      <c r="D42" s="3" t="s">
        <v>871</v>
      </c>
      <c r="E42" s="2" t="s">
        <v>876</v>
      </c>
      <c r="F42" s="3" t="s">
        <v>980</v>
      </c>
      <c r="G42" s="3" t="s">
        <v>2345</v>
      </c>
      <c r="H42" s="3" t="s">
        <v>2355</v>
      </c>
      <c r="I42" s="21">
        <v>-985716.79</v>
      </c>
      <c r="J42" s="4" t="str">
        <f>IF(COUNTIF('YCOA-Konten'!$A$5:$A$708,C42)&gt;0,"belegt",IF(COUNTIF($C$6:$C$90,C42)&gt;1,"doppelt","frei"))</f>
        <v>frei</v>
      </c>
      <c r="K42" s="3" t="s">
        <v>2356</v>
      </c>
    </row>
    <row r="43" spans="1:11" ht="24" x14ac:dyDescent="0.25">
      <c r="A43" s="2" t="s">
        <v>872</v>
      </c>
      <c r="B43" s="3" t="s">
        <v>873</v>
      </c>
      <c r="C43" s="4" t="str">
        <f>$C$3&amp;A43</f>
        <v>41820067</v>
      </c>
      <c r="D43" s="3" t="s">
        <v>873</v>
      </c>
      <c r="E43" s="2" t="s">
        <v>876</v>
      </c>
      <c r="F43" s="3" t="s">
        <v>980</v>
      </c>
      <c r="G43" s="3" t="s">
        <v>2345</v>
      </c>
      <c r="H43" s="3" t="s">
        <v>2355</v>
      </c>
      <c r="I43" s="21">
        <v>-928297.77</v>
      </c>
      <c r="J43" s="4" t="str">
        <f>IF(COUNTIF('YCOA-Konten'!$A$5:$A$708,C43)&gt;0,"belegt",IF(COUNTIF($C$6:$C$90,C43)&gt;1,"doppelt","frei"))</f>
        <v>frei</v>
      </c>
      <c r="K43" s="3" t="s">
        <v>2356</v>
      </c>
    </row>
    <row r="44" spans="1:11" ht="24" x14ac:dyDescent="0.25">
      <c r="A44" s="2" t="s">
        <v>874</v>
      </c>
      <c r="B44" s="3" t="s">
        <v>875</v>
      </c>
      <c r="C44" s="4" t="str">
        <f>$C$3&amp;A44</f>
        <v>41820068</v>
      </c>
      <c r="D44" s="3" t="s">
        <v>875</v>
      </c>
      <c r="E44" s="2" t="s">
        <v>876</v>
      </c>
      <c r="F44" s="3" t="s">
        <v>980</v>
      </c>
      <c r="G44" s="3" t="s">
        <v>2345</v>
      </c>
      <c r="H44" s="3" t="s">
        <v>2355</v>
      </c>
      <c r="I44" s="21">
        <v>-74502638.030000001</v>
      </c>
      <c r="J44" s="4" t="str">
        <f>IF(COUNTIF('YCOA-Konten'!$A$5:$A$708,C44)&gt;0,"belegt",IF(COUNTIF($C$6:$C$90,C44)&gt;1,"doppelt","frei"))</f>
        <v>frei</v>
      </c>
      <c r="K44" s="3" t="s">
        <v>2356</v>
      </c>
    </row>
    <row r="45" spans="1:11" ht="36" x14ac:dyDescent="0.25">
      <c r="A45" s="2" t="s">
        <v>879</v>
      </c>
      <c r="B45" s="3" t="s">
        <v>880</v>
      </c>
      <c r="C45" s="4" t="str">
        <f>$C$3&amp;A45</f>
        <v>41820089</v>
      </c>
      <c r="D45" s="3" t="s">
        <v>2359</v>
      </c>
      <c r="E45" s="2" t="s">
        <v>876</v>
      </c>
      <c r="F45" s="3" t="s">
        <v>980</v>
      </c>
      <c r="G45" s="3" t="s">
        <v>2345</v>
      </c>
      <c r="H45" s="3" t="s">
        <v>2355</v>
      </c>
      <c r="I45" s="21">
        <v>-1656601.39</v>
      </c>
      <c r="J45" s="4" t="str">
        <f>IF(COUNTIF('YCOA-Konten'!$A$5:$A$708,C45)&gt;0,"belegt",IF(COUNTIF($C$6:$C$90,C45)&gt;1,"doppelt","frei"))</f>
        <v>frei</v>
      </c>
      <c r="K45" s="3" t="s">
        <v>2360</v>
      </c>
    </row>
    <row r="46" spans="1:11" ht="24" x14ac:dyDescent="0.25">
      <c r="A46" s="2" t="s">
        <v>881</v>
      </c>
      <c r="B46" s="3" t="s">
        <v>882</v>
      </c>
      <c r="C46" s="4" t="str">
        <f>$C$3&amp;A46</f>
        <v>41820900</v>
      </c>
      <c r="D46" s="3" t="s">
        <v>882</v>
      </c>
      <c r="E46" s="2" t="s">
        <v>876</v>
      </c>
      <c r="F46" s="3" t="s">
        <v>980</v>
      </c>
      <c r="G46" s="3" t="s">
        <v>2345</v>
      </c>
      <c r="H46" s="3" t="s">
        <v>2355</v>
      </c>
      <c r="I46" s="21">
        <v>-187679.8</v>
      </c>
      <c r="J46" s="4" t="str">
        <f>IF(COUNTIF('YCOA-Konten'!$A$5:$A$708,C46)&gt;0,"belegt",IF(COUNTIF($C$6:$C$90,C46)&gt;1,"doppelt","frei"))</f>
        <v>frei</v>
      </c>
      <c r="K46" s="3" t="s">
        <v>2356</v>
      </c>
    </row>
    <row r="47" spans="1:11" ht="24" x14ac:dyDescent="0.25">
      <c r="A47" s="2" t="s">
        <v>884</v>
      </c>
      <c r="B47" s="3" t="s">
        <v>885</v>
      </c>
      <c r="C47" s="4" t="str">
        <f>$C$3&amp;A47</f>
        <v>41823590</v>
      </c>
      <c r="D47" s="3" t="s">
        <v>885</v>
      </c>
      <c r="E47" s="2" t="s">
        <v>876</v>
      </c>
      <c r="F47" s="3" t="s">
        <v>980</v>
      </c>
      <c r="G47" s="3" t="s">
        <v>2345</v>
      </c>
      <c r="H47" s="3" t="s">
        <v>2355</v>
      </c>
      <c r="I47" s="21">
        <v>-2220000</v>
      </c>
      <c r="J47" s="4" t="str">
        <f>IF(COUNTIF('YCOA-Konten'!$A$5:$A$708,C47)&gt;0,"belegt",IF(COUNTIF($C$6:$C$90,C47)&gt;1,"doppelt","frei"))</f>
        <v>frei</v>
      </c>
      <c r="K47" s="3" t="s">
        <v>2356</v>
      </c>
    </row>
    <row r="48" spans="1:11" ht="36" x14ac:dyDescent="0.25">
      <c r="A48" s="2" t="s">
        <v>2254</v>
      </c>
      <c r="B48" s="3" t="s">
        <v>2255</v>
      </c>
      <c r="C48" s="4" t="str">
        <f>$C$3&amp;A48</f>
        <v>41824951</v>
      </c>
      <c r="D48" s="3" t="s">
        <v>2255</v>
      </c>
      <c r="E48" s="2" t="s">
        <v>876</v>
      </c>
      <c r="F48" s="3" t="s">
        <v>980</v>
      </c>
      <c r="G48" s="3" t="s">
        <v>2345</v>
      </c>
      <c r="H48" s="3" t="s">
        <v>2361</v>
      </c>
      <c r="I48" s="21"/>
      <c r="J48" s="4" t="str">
        <f>IF(COUNTIF('YCOA-Konten'!$A$5:$A$708,C48)&gt;0,"belegt",IF(COUNTIF($C$6:$C$90,C48)&gt;1,"doppelt","frei"))</f>
        <v>frei</v>
      </c>
      <c r="K48" s="3" t="s">
        <v>2362</v>
      </c>
    </row>
    <row r="49" spans="1:11" ht="48" x14ac:dyDescent="0.25">
      <c r="A49" s="2" t="s">
        <v>2257</v>
      </c>
      <c r="B49" s="3" t="s">
        <v>2258</v>
      </c>
      <c r="C49" s="4" t="str">
        <f>$C$3&amp;A49</f>
        <v>41824970</v>
      </c>
      <c r="D49" s="3" t="s">
        <v>2258</v>
      </c>
      <c r="E49" s="2" t="s">
        <v>2222</v>
      </c>
      <c r="F49" s="3" t="s">
        <v>2223</v>
      </c>
      <c r="G49" s="3" t="s">
        <v>2345</v>
      </c>
      <c r="H49" s="3" t="s">
        <v>2361</v>
      </c>
      <c r="I49" s="21"/>
      <c r="J49" s="4" t="str">
        <f>IF(COUNTIF('YCOA-Konten'!$A$5:$A$708,C49)&gt;0,"belegt",IF(COUNTIF($C$6:$C$90,C49)&gt;1,"doppelt","frei"))</f>
        <v>frei</v>
      </c>
      <c r="K49" s="3" t="s">
        <v>2363</v>
      </c>
    </row>
    <row r="50" spans="1:11" ht="24" x14ac:dyDescent="0.25">
      <c r="A50" s="2" t="s">
        <v>886</v>
      </c>
      <c r="B50" s="3" t="s">
        <v>887</v>
      </c>
      <c r="C50" s="4" t="str">
        <f>$C$3&amp;A50</f>
        <v>41830100</v>
      </c>
      <c r="D50" s="3" t="s">
        <v>887</v>
      </c>
      <c r="E50" s="2" t="s">
        <v>876</v>
      </c>
      <c r="F50" s="3" t="s">
        <v>980</v>
      </c>
      <c r="G50" s="3" t="s">
        <v>2345</v>
      </c>
      <c r="H50" s="3" t="s">
        <v>2364</v>
      </c>
      <c r="I50" s="21">
        <v>-2065554.15</v>
      </c>
      <c r="J50" s="4" t="str">
        <f>IF(COUNTIF('YCOA-Konten'!$A$5:$A$708,C50)&gt;0,"belegt",IF(COUNTIF($C$6:$C$90,C50)&gt;1,"doppelt","frei"))</f>
        <v>frei</v>
      </c>
      <c r="K50" s="3"/>
    </row>
    <row r="51" spans="1:11" ht="24" x14ac:dyDescent="0.25">
      <c r="A51" s="2" t="s">
        <v>890</v>
      </c>
      <c r="B51" s="3" t="s">
        <v>891</v>
      </c>
      <c r="C51" s="4" t="str">
        <f>$C$3&amp;A51</f>
        <v>41830102</v>
      </c>
      <c r="D51" s="3" t="s">
        <v>891</v>
      </c>
      <c r="E51" s="2" t="s">
        <v>876</v>
      </c>
      <c r="F51" s="3" t="s">
        <v>980</v>
      </c>
      <c r="G51" s="3" t="s">
        <v>2345</v>
      </c>
      <c r="H51" s="3" t="s">
        <v>2364</v>
      </c>
      <c r="I51" s="21">
        <v>182000</v>
      </c>
      <c r="J51" s="4" t="str">
        <f>IF(COUNTIF('YCOA-Konten'!$A$5:$A$708,C51)&gt;0,"belegt",IF(COUNTIF($C$6:$C$90,C51)&gt;1,"doppelt","frei"))</f>
        <v>frei</v>
      </c>
      <c r="K51" s="3"/>
    </row>
    <row r="52" spans="1:11" ht="24" x14ac:dyDescent="0.25">
      <c r="A52" s="2" t="s">
        <v>895</v>
      </c>
      <c r="B52" s="3" t="s">
        <v>896</v>
      </c>
      <c r="C52" s="4" t="str">
        <f>$C$3&amp;A52</f>
        <v>41830130</v>
      </c>
      <c r="D52" s="3" t="s">
        <v>896</v>
      </c>
      <c r="E52" s="2" t="s">
        <v>876</v>
      </c>
      <c r="F52" s="3" t="s">
        <v>980</v>
      </c>
      <c r="G52" s="3" t="s">
        <v>2345</v>
      </c>
      <c r="H52" s="3" t="s">
        <v>2364</v>
      </c>
      <c r="I52" s="21">
        <v>-4472968.42</v>
      </c>
      <c r="J52" s="4" t="str">
        <f>IF(COUNTIF('YCOA-Konten'!$A$5:$A$708,C52)&gt;0,"belegt",IF(COUNTIF($C$6:$C$90,C52)&gt;1,"doppelt","frei"))</f>
        <v>frei</v>
      </c>
      <c r="K52" s="3"/>
    </row>
    <row r="53" spans="1:11" ht="24" x14ac:dyDescent="0.25">
      <c r="A53" s="2" t="s">
        <v>897</v>
      </c>
      <c r="B53" s="3" t="s">
        <v>898</v>
      </c>
      <c r="C53" s="4" t="str">
        <f>$C$3&amp;A53</f>
        <v>41830131</v>
      </c>
      <c r="D53" s="3" t="s">
        <v>898</v>
      </c>
      <c r="E53" s="2" t="s">
        <v>876</v>
      </c>
      <c r="F53" s="3" t="s">
        <v>980</v>
      </c>
      <c r="G53" s="3" t="s">
        <v>2345</v>
      </c>
      <c r="H53" s="3" t="s">
        <v>2364</v>
      </c>
      <c r="I53" s="21">
        <v>-14365149.939999999</v>
      </c>
      <c r="J53" s="4" t="str">
        <f>IF(COUNTIF('YCOA-Konten'!$A$5:$A$708,C53)&gt;0,"belegt",IF(COUNTIF($C$6:$C$90,C53)&gt;1,"doppelt","frei"))</f>
        <v>frei</v>
      </c>
      <c r="K53" s="3"/>
    </row>
    <row r="54" spans="1:11" ht="24" x14ac:dyDescent="0.25">
      <c r="A54" s="2" t="s">
        <v>899</v>
      </c>
      <c r="B54" s="3" t="s">
        <v>900</v>
      </c>
      <c r="C54" s="4" t="str">
        <f>$C$3&amp;A54</f>
        <v>41830133</v>
      </c>
      <c r="D54" s="3" t="s">
        <v>900</v>
      </c>
      <c r="E54" s="2" t="s">
        <v>876</v>
      </c>
      <c r="F54" s="3" t="s">
        <v>980</v>
      </c>
      <c r="G54" s="3" t="s">
        <v>2345</v>
      </c>
      <c r="H54" s="3" t="s">
        <v>2364</v>
      </c>
      <c r="I54" s="21">
        <v>-126765.94</v>
      </c>
      <c r="J54" s="4" t="str">
        <f>IF(COUNTIF('YCOA-Konten'!$A$5:$A$708,C54)&gt;0,"belegt",IF(COUNTIF($C$6:$C$90,C54)&gt;1,"doppelt","frei"))</f>
        <v>frei</v>
      </c>
      <c r="K54" s="3"/>
    </row>
    <row r="55" spans="1:11" ht="24" x14ac:dyDescent="0.25">
      <c r="A55" s="2" t="s">
        <v>901</v>
      </c>
      <c r="B55" s="3" t="s">
        <v>902</v>
      </c>
      <c r="C55" s="4" t="str">
        <f>$C$3&amp;A55</f>
        <v>41830134</v>
      </c>
      <c r="D55" s="3" t="s">
        <v>902</v>
      </c>
      <c r="E55" s="2" t="s">
        <v>876</v>
      </c>
      <c r="F55" s="3" t="s">
        <v>980</v>
      </c>
      <c r="G55" s="3" t="s">
        <v>2345</v>
      </c>
      <c r="H55" s="3" t="s">
        <v>2364</v>
      </c>
      <c r="I55" s="21">
        <v>-11229478.960000001</v>
      </c>
      <c r="J55" s="4" t="str">
        <f>IF(COUNTIF('YCOA-Konten'!$A$5:$A$708,C55)&gt;0,"belegt",IF(COUNTIF($C$6:$C$90,C55)&gt;1,"doppelt","frei"))</f>
        <v>frei</v>
      </c>
      <c r="K55" s="3"/>
    </row>
    <row r="56" spans="1:11" ht="24" x14ac:dyDescent="0.25">
      <c r="A56" s="2" t="s">
        <v>903</v>
      </c>
      <c r="B56" s="3" t="s">
        <v>904</v>
      </c>
      <c r="C56" s="4" t="str">
        <f>$C$3&amp;A56</f>
        <v>41830159</v>
      </c>
      <c r="D56" s="3" t="s">
        <v>904</v>
      </c>
      <c r="E56" s="2" t="s">
        <v>876</v>
      </c>
      <c r="F56" s="3" t="s">
        <v>980</v>
      </c>
      <c r="G56" s="3" t="s">
        <v>2345</v>
      </c>
      <c r="H56" s="3" t="s">
        <v>2364</v>
      </c>
      <c r="I56" s="21">
        <v>-1259159.01</v>
      </c>
      <c r="J56" s="4" t="str">
        <f>IF(COUNTIF('YCOA-Konten'!$A$5:$A$708,C56)&gt;0,"belegt",IF(COUNTIF($C$6:$C$90,C56)&gt;1,"doppelt","frei"))</f>
        <v>frei</v>
      </c>
      <c r="K56" s="3"/>
    </row>
    <row r="57" spans="1:11" ht="24" x14ac:dyDescent="0.25">
      <c r="A57" s="2" t="s">
        <v>908</v>
      </c>
      <c r="B57" s="3" t="s">
        <v>909</v>
      </c>
      <c r="C57" s="4" t="str">
        <f>$C$3&amp;A57</f>
        <v>41830161</v>
      </c>
      <c r="D57" s="3" t="s">
        <v>909</v>
      </c>
      <c r="E57" s="2" t="s">
        <v>876</v>
      </c>
      <c r="F57" s="3" t="s">
        <v>980</v>
      </c>
      <c r="G57" s="3" t="s">
        <v>2345</v>
      </c>
      <c r="H57" s="3" t="s">
        <v>2364</v>
      </c>
      <c r="I57" s="21">
        <v>-8129154.1799999997</v>
      </c>
      <c r="J57" s="4" t="str">
        <f>IF(COUNTIF('YCOA-Konten'!$A$5:$A$708,C57)&gt;0,"belegt",IF(COUNTIF($C$6:$C$90,C57)&gt;1,"doppelt","frei"))</f>
        <v>frei</v>
      </c>
      <c r="K57" s="3"/>
    </row>
    <row r="58" spans="1:11" ht="24" x14ac:dyDescent="0.25">
      <c r="A58" s="2" t="s">
        <v>913</v>
      </c>
      <c r="B58" s="3" t="s">
        <v>914</v>
      </c>
      <c r="C58" s="4" t="str">
        <f>$C$3&amp;A58</f>
        <v>41830164</v>
      </c>
      <c r="D58" s="3" t="s">
        <v>914</v>
      </c>
      <c r="E58" s="2" t="s">
        <v>876</v>
      </c>
      <c r="F58" s="3" t="s">
        <v>980</v>
      </c>
      <c r="G58" s="3" t="s">
        <v>2345</v>
      </c>
      <c r="H58" s="3" t="s">
        <v>2364</v>
      </c>
      <c r="I58" s="21">
        <v>-424290.38</v>
      </c>
      <c r="J58" s="4" t="str">
        <f>IF(COUNTIF('YCOA-Konten'!$A$5:$A$708,C58)&gt;0,"belegt",IF(COUNTIF($C$6:$C$90,C58)&gt;1,"doppelt","frei"))</f>
        <v>frei</v>
      </c>
      <c r="K58" s="3"/>
    </row>
    <row r="59" spans="1:11" ht="24" x14ac:dyDescent="0.25">
      <c r="A59" s="2" t="s">
        <v>915</v>
      </c>
      <c r="B59" s="3" t="s">
        <v>916</v>
      </c>
      <c r="C59" s="4" t="str">
        <f>$C$3&amp;A59</f>
        <v>41830166</v>
      </c>
      <c r="D59" s="3" t="s">
        <v>916</v>
      </c>
      <c r="E59" s="2" t="s">
        <v>876</v>
      </c>
      <c r="F59" s="3" t="s">
        <v>980</v>
      </c>
      <c r="G59" s="3" t="s">
        <v>2345</v>
      </c>
      <c r="H59" s="3" t="s">
        <v>2364</v>
      </c>
      <c r="I59" s="21">
        <v>-2501361.56</v>
      </c>
      <c r="J59" s="4" t="str">
        <f>IF(COUNTIF('YCOA-Konten'!$A$5:$A$708,C59)&gt;0,"belegt",IF(COUNTIF($C$6:$C$90,C59)&gt;1,"doppelt","frei"))</f>
        <v>frei</v>
      </c>
      <c r="K59" s="3"/>
    </row>
    <row r="60" spans="1:11" ht="24" x14ac:dyDescent="0.25">
      <c r="A60" s="2" t="s">
        <v>918</v>
      </c>
      <c r="B60" s="3" t="s">
        <v>919</v>
      </c>
      <c r="C60" s="4" t="str">
        <f>$C$3&amp;A60</f>
        <v>41830167</v>
      </c>
      <c r="D60" s="3" t="s">
        <v>919</v>
      </c>
      <c r="E60" s="2" t="s">
        <v>876</v>
      </c>
      <c r="F60" s="3" t="s">
        <v>980</v>
      </c>
      <c r="G60" s="3" t="s">
        <v>2345</v>
      </c>
      <c r="H60" s="3" t="s">
        <v>2364</v>
      </c>
      <c r="I60" s="21">
        <v>-3988.72</v>
      </c>
      <c r="J60" s="4" t="str">
        <f>IF(COUNTIF('YCOA-Konten'!$A$5:$A$708,C60)&gt;0,"belegt",IF(COUNTIF($C$6:$C$90,C60)&gt;1,"doppelt","frei"))</f>
        <v>frei</v>
      </c>
      <c r="K60" s="3"/>
    </row>
    <row r="61" spans="1:11" ht="24" x14ac:dyDescent="0.25">
      <c r="A61" s="2" t="s">
        <v>920</v>
      </c>
      <c r="B61" s="3" t="s">
        <v>921</v>
      </c>
      <c r="C61" s="4" t="str">
        <f>$C$3&amp;A61</f>
        <v>41830189</v>
      </c>
      <c r="D61" s="3" t="s">
        <v>921</v>
      </c>
      <c r="E61" s="2" t="s">
        <v>876</v>
      </c>
      <c r="F61" s="3" t="s">
        <v>980</v>
      </c>
      <c r="G61" s="3" t="s">
        <v>2345</v>
      </c>
      <c r="H61" s="3" t="s">
        <v>2364</v>
      </c>
      <c r="I61" s="21">
        <v>-286689.31</v>
      </c>
      <c r="J61" s="4" t="str">
        <f>IF(COUNTIF('YCOA-Konten'!$A$5:$A$708,C61)&gt;0,"belegt",IF(COUNTIF($C$6:$C$90,C61)&gt;1,"doppelt","frei"))</f>
        <v>frei</v>
      </c>
      <c r="K61" s="3"/>
    </row>
    <row r="62" spans="1:11" ht="24" x14ac:dyDescent="0.25">
      <c r="A62" s="2" t="s">
        <v>925</v>
      </c>
      <c r="B62" s="3" t="s">
        <v>926</v>
      </c>
      <c r="C62" s="4" t="str">
        <f>$C$3&amp;A62</f>
        <v>41840000</v>
      </c>
      <c r="D62" s="3" t="s">
        <v>926</v>
      </c>
      <c r="E62" s="2" t="s">
        <v>876</v>
      </c>
      <c r="F62" s="3" t="s">
        <v>980</v>
      </c>
      <c r="G62" s="3" t="s">
        <v>2345</v>
      </c>
      <c r="H62" s="3" t="s">
        <v>2365</v>
      </c>
      <c r="I62" s="21">
        <v>0</v>
      </c>
      <c r="J62" s="4" t="str">
        <f>IF(COUNTIF('YCOA-Konten'!$A$5:$A$708,C62)&gt;0,"belegt",IF(COUNTIF($C$6:$C$90,C62)&gt;1,"doppelt","frei"))</f>
        <v>frei</v>
      </c>
      <c r="K62" s="3"/>
    </row>
    <row r="63" spans="1:11" ht="24" x14ac:dyDescent="0.25">
      <c r="A63" s="2" t="s">
        <v>929</v>
      </c>
      <c r="B63" s="3" t="s">
        <v>930</v>
      </c>
      <c r="C63" s="4" t="str">
        <f>$C$3&amp;A63</f>
        <v>41840001</v>
      </c>
      <c r="D63" s="3" t="s">
        <v>930</v>
      </c>
      <c r="E63" s="2" t="s">
        <v>876</v>
      </c>
      <c r="F63" s="3" t="s">
        <v>980</v>
      </c>
      <c r="G63" s="3" t="s">
        <v>2345</v>
      </c>
      <c r="H63" s="3" t="s">
        <v>2365</v>
      </c>
      <c r="I63" s="21">
        <v>-357443.87</v>
      </c>
      <c r="J63" s="4" t="str">
        <f>IF(COUNTIF('YCOA-Konten'!$A$5:$A$708,C63)&gt;0,"belegt",IF(COUNTIF($C$6:$C$90,C63)&gt;1,"doppelt","frei"))</f>
        <v>frei</v>
      </c>
      <c r="K63" s="3"/>
    </row>
    <row r="64" spans="1:11" ht="24" x14ac:dyDescent="0.25">
      <c r="A64" s="2" t="s">
        <v>931</v>
      </c>
      <c r="B64" s="3" t="s">
        <v>932</v>
      </c>
      <c r="C64" s="4" t="str">
        <f>$C$3&amp;A64</f>
        <v>41840004</v>
      </c>
      <c r="D64" s="3" t="s">
        <v>932</v>
      </c>
      <c r="E64" s="2" t="s">
        <v>876</v>
      </c>
      <c r="F64" s="3" t="s">
        <v>980</v>
      </c>
      <c r="G64" s="3" t="s">
        <v>2345</v>
      </c>
      <c r="H64" s="3" t="s">
        <v>2365</v>
      </c>
      <c r="I64" s="21">
        <v>-101653.69</v>
      </c>
      <c r="J64" s="4" t="str">
        <f>IF(COUNTIF('YCOA-Konten'!$A$5:$A$708,C64)&gt;0,"belegt",IF(COUNTIF($C$6:$C$90,C64)&gt;1,"doppelt","frei"))</f>
        <v>frei</v>
      </c>
      <c r="K64" s="3"/>
    </row>
    <row r="65" spans="1:11" ht="24" x14ac:dyDescent="0.25">
      <c r="A65" s="2" t="s">
        <v>933</v>
      </c>
      <c r="B65" s="3" t="s">
        <v>934</v>
      </c>
      <c r="C65" s="4" t="str">
        <f>$C$3&amp;A65</f>
        <v>41840031</v>
      </c>
      <c r="D65" s="3" t="s">
        <v>934</v>
      </c>
      <c r="E65" s="2" t="s">
        <v>876</v>
      </c>
      <c r="F65" s="3" t="s">
        <v>980</v>
      </c>
      <c r="G65" s="3" t="s">
        <v>2345</v>
      </c>
      <c r="H65" s="3" t="s">
        <v>2365</v>
      </c>
      <c r="I65" s="21">
        <v>-328876.56</v>
      </c>
      <c r="J65" s="4" t="str">
        <f>IF(COUNTIF('YCOA-Konten'!$A$5:$A$708,C65)&gt;0,"belegt",IF(COUNTIF($C$6:$C$90,C65)&gt;1,"doppelt","frei"))</f>
        <v>frei</v>
      </c>
      <c r="K65" s="3"/>
    </row>
    <row r="66" spans="1:11" ht="24" x14ac:dyDescent="0.25">
      <c r="A66" s="2" t="s">
        <v>935</v>
      </c>
      <c r="B66" s="3" t="s">
        <v>936</v>
      </c>
      <c r="C66" s="4" t="str">
        <f>$C$3&amp;A66</f>
        <v>41840032</v>
      </c>
      <c r="D66" s="3" t="s">
        <v>936</v>
      </c>
      <c r="E66" s="2" t="s">
        <v>876</v>
      </c>
      <c r="F66" s="3" t="s">
        <v>980</v>
      </c>
      <c r="G66" s="3" t="s">
        <v>2345</v>
      </c>
      <c r="H66" s="3" t="s">
        <v>2365</v>
      </c>
      <c r="I66" s="21">
        <v>-4660.03</v>
      </c>
      <c r="J66" s="4" t="str">
        <f>IF(COUNTIF('YCOA-Konten'!$A$5:$A$708,C66)&gt;0,"belegt",IF(COUNTIF($C$6:$C$90,C66)&gt;1,"doppelt","frei"))</f>
        <v>frei</v>
      </c>
      <c r="K66" s="3"/>
    </row>
    <row r="67" spans="1:11" ht="24" x14ac:dyDescent="0.25">
      <c r="A67" s="2" t="s">
        <v>937</v>
      </c>
      <c r="B67" s="3" t="s">
        <v>938</v>
      </c>
      <c r="C67" s="4" t="str">
        <f>$C$3&amp;A67</f>
        <v>41840033</v>
      </c>
      <c r="D67" s="3" t="s">
        <v>938</v>
      </c>
      <c r="E67" s="2" t="s">
        <v>876</v>
      </c>
      <c r="F67" s="3" t="s">
        <v>980</v>
      </c>
      <c r="G67" s="3" t="s">
        <v>2345</v>
      </c>
      <c r="H67" s="3" t="s">
        <v>2365</v>
      </c>
      <c r="I67" s="21">
        <v>-149100.82</v>
      </c>
      <c r="J67" s="4" t="str">
        <f>IF(COUNTIF('YCOA-Konten'!$A$5:$A$708,C67)&gt;0,"belegt",IF(COUNTIF($C$6:$C$90,C67)&gt;1,"doppelt","frei"))</f>
        <v>frei</v>
      </c>
      <c r="K67" s="3"/>
    </row>
    <row r="68" spans="1:11" ht="24" x14ac:dyDescent="0.25">
      <c r="A68" s="2" t="s">
        <v>939</v>
      </c>
      <c r="B68" s="3" t="s">
        <v>940</v>
      </c>
      <c r="C68" s="4" t="str">
        <f>$C$3&amp;A68</f>
        <v>41840034</v>
      </c>
      <c r="D68" s="3" t="s">
        <v>940</v>
      </c>
      <c r="E68" s="2" t="s">
        <v>876</v>
      </c>
      <c r="F68" s="3" t="s">
        <v>980</v>
      </c>
      <c r="G68" s="3" t="s">
        <v>2345</v>
      </c>
      <c r="H68" s="3" t="s">
        <v>2365</v>
      </c>
      <c r="I68" s="21">
        <v>-11727.91</v>
      </c>
      <c r="J68" s="4" t="str">
        <f>IF(COUNTIF('YCOA-Konten'!$A$5:$A$708,C68)&gt;0,"belegt",IF(COUNTIF($C$6:$C$90,C68)&gt;1,"doppelt","frei"))</f>
        <v>frei</v>
      </c>
      <c r="K68" s="3"/>
    </row>
    <row r="69" spans="1:11" ht="24" x14ac:dyDescent="0.25">
      <c r="A69" s="2" t="s">
        <v>941</v>
      </c>
      <c r="B69" s="3" t="s">
        <v>942</v>
      </c>
      <c r="C69" s="4" t="str">
        <f>$C$3&amp;A69</f>
        <v>41840035</v>
      </c>
      <c r="D69" s="3" t="s">
        <v>942</v>
      </c>
      <c r="E69" s="2" t="s">
        <v>876</v>
      </c>
      <c r="F69" s="3" t="s">
        <v>980</v>
      </c>
      <c r="G69" s="3" t="s">
        <v>2345</v>
      </c>
      <c r="H69" s="3" t="s">
        <v>2365</v>
      </c>
      <c r="I69" s="21">
        <v>-34016.07</v>
      </c>
      <c r="J69" s="4" t="str">
        <f>IF(COUNTIF('YCOA-Konten'!$A$5:$A$708,C69)&gt;0,"belegt",IF(COUNTIF($C$6:$C$90,C69)&gt;1,"doppelt","frei"))</f>
        <v>frei</v>
      </c>
      <c r="K69" s="3"/>
    </row>
    <row r="70" spans="1:11" ht="24" x14ac:dyDescent="0.25">
      <c r="A70" s="2" t="s">
        <v>943</v>
      </c>
      <c r="B70" s="3" t="s">
        <v>944</v>
      </c>
      <c r="C70" s="4" t="str">
        <f>$C$3&amp;A70</f>
        <v>41840037</v>
      </c>
      <c r="D70" s="3" t="s">
        <v>944</v>
      </c>
      <c r="E70" s="2" t="s">
        <v>876</v>
      </c>
      <c r="F70" s="3" t="s">
        <v>980</v>
      </c>
      <c r="G70" s="3" t="s">
        <v>2345</v>
      </c>
      <c r="H70" s="3" t="s">
        <v>2365</v>
      </c>
      <c r="I70" s="21">
        <v>-51094.8</v>
      </c>
      <c r="J70" s="4" t="str">
        <f>IF(COUNTIF('YCOA-Konten'!$A$5:$A$708,C70)&gt;0,"belegt",IF(COUNTIF($C$6:$C$90,C70)&gt;1,"doppelt","frei"))</f>
        <v>frei</v>
      </c>
      <c r="K70" s="3"/>
    </row>
    <row r="71" spans="1:11" ht="24" x14ac:dyDescent="0.25">
      <c r="A71" s="2" t="s">
        <v>945</v>
      </c>
      <c r="B71" s="3" t="s">
        <v>946</v>
      </c>
      <c r="C71" s="4" t="str">
        <f>$C$3&amp;A71</f>
        <v>41840101</v>
      </c>
      <c r="D71" s="3" t="s">
        <v>946</v>
      </c>
      <c r="E71" s="2" t="s">
        <v>876</v>
      </c>
      <c r="F71" s="3" t="s">
        <v>980</v>
      </c>
      <c r="G71" s="3" t="s">
        <v>2345</v>
      </c>
      <c r="H71" s="3" t="s">
        <v>2365</v>
      </c>
      <c r="I71" s="21">
        <v>-3225305.09</v>
      </c>
      <c r="J71" s="4" t="str">
        <f>IF(COUNTIF('YCOA-Konten'!$A$5:$A$708,C71)&gt;0,"belegt",IF(COUNTIF($C$6:$C$90,C71)&gt;1,"doppelt","frei"))</f>
        <v>frei</v>
      </c>
      <c r="K71" s="3"/>
    </row>
    <row r="72" spans="1:11" ht="24" x14ac:dyDescent="0.25">
      <c r="A72" s="2" t="s">
        <v>947</v>
      </c>
      <c r="B72" s="3" t="s">
        <v>948</v>
      </c>
      <c r="C72" s="4" t="str">
        <f>$C$3&amp;A72</f>
        <v>41840102</v>
      </c>
      <c r="D72" s="3" t="s">
        <v>948</v>
      </c>
      <c r="E72" s="2" t="s">
        <v>876</v>
      </c>
      <c r="F72" s="3" t="s">
        <v>980</v>
      </c>
      <c r="G72" s="3" t="s">
        <v>2345</v>
      </c>
      <c r="H72" s="3" t="s">
        <v>2365</v>
      </c>
      <c r="I72" s="21">
        <v>-37139.5</v>
      </c>
      <c r="J72" s="4" t="str">
        <f>IF(COUNTIF('YCOA-Konten'!$A$5:$A$708,C72)&gt;0,"belegt",IF(COUNTIF($C$6:$C$90,C72)&gt;1,"doppelt","frei"))</f>
        <v>frei</v>
      </c>
      <c r="K72" s="3"/>
    </row>
    <row r="73" spans="1:11" ht="24" x14ac:dyDescent="0.25">
      <c r="A73" s="2" t="s">
        <v>949</v>
      </c>
      <c r="B73" s="3" t="s">
        <v>950</v>
      </c>
      <c r="C73" s="4" t="str">
        <f>$C$3&amp;A73</f>
        <v>41840200</v>
      </c>
      <c r="D73" s="3" t="s">
        <v>950</v>
      </c>
      <c r="E73" s="2" t="s">
        <v>876</v>
      </c>
      <c r="F73" s="3" t="s">
        <v>980</v>
      </c>
      <c r="G73" s="3" t="s">
        <v>2345</v>
      </c>
      <c r="H73" s="3" t="s">
        <v>2365</v>
      </c>
      <c r="I73" s="21">
        <v>-4633935.26</v>
      </c>
      <c r="J73" s="4" t="str">
        <f>IF(COUNTIF('YCOA-Konten'!$A$5:$A$708,C73)&gt;0,"belegt",IF(COUNTIF($C$6:$C$90,C73)&gt;1,"doppelt","frei"))</f>
        <v>frei</v>
      </c>
      <c r="K73" s="3" t="s">
        <v>2366</v>
      </c>
    </row>
    <row r="74" spans="1:11" ht="24" x14ac:dyDescent="0.25">
      <c r="A74" s="2" t="s">
        <v>954</v>
      </c>
      <c r="B74" s="3" t="s">
        <v>955</v>
      </c>
      <c r="C74" s="4" t="str">
        <f>$C$3&amp;A74</f>
        <v>41840201</v>
      </c>
      <c r="D74" s="3" t="s">
        <v>955</v>
      </c>
      <c r="E74" s="2" t="s">
        <v>876</v>
      </c>
      <c r="F74" s="3" t="s">
        <v>980</v>
      </c>
      <c r="G74" s="3" t="s">
        <v>2345</v>
      </c>
      <c r="H74" s="3" t="s">
        <v>2365</v>
      </c>
      <c r="I74" s="21">
        <v>-1575117.08</v>
      </c>
      <c r="J74" s="4" t="str">
        <f>IF(COUNTIF('YCOA-Konten'!$A$5:$A$708,C74)&gt;0,"belegt",IF(COUNTIF($C$6:$C$90,C74)&gt;1,"doppelt","frei"))</f>
        <v>frei</v>
      </c>
      <c r="K74" s="3" t="s">
        <v>2366</v>
      </c>
    </row>
    <row r="75" spans="1:11" ht="24" x14ac:dyDescent="0.25">
      <c r="A75" s="2" t="s">
        <v>957</v>
      </c>
      <c r="B75" s="3" t="s">
        <v>958</v>
      </c>
      <c r="C75" s="4" t="str">
        <f>$C$3&amp;A75</f>
        <v>41840202</v>
      </c>
      <c r="D75" s="3" t="s">
        <v>958</v>
      </c>
      <c r="E75" s="2" t="s">
        <v>876</v>
      </c>
      <c r="F75" s="3" t="s">
        <v>980</v>
      </c>
      <c r="G75" s="3" t="s">
        <v>2345</v>
      </c>
      <c r="H75" s="3" t="s">
        <v>2365</v>
      </c>
      <c r="I75" s="21">
        <v>-2774344.13</v>
      </c>
      <c r="J75" s="4" t="str">
        <f>IF(COUNTIF('YCOA-Konten'!$A$5:$A$708,C75)&gt;0,"belegt",IF(COUNTIF($C$6:$C$90,C75)&gt;1,"doppelt","frei"))</f>
        <v>frei</v>
      </c>
      <c r="K75" s="3" t="s">
        <v>2366</v>
      </c>
    </row>
    <row r="76" spans="1:11" ht="24" x14ac:dyDescent="0.25">
      <c r="A76" s="2" t="s">
        <v>959</v>
      </c>
      <c r="B76" s="3" t="s">
        <v>960</v>
      </c>
      <c r="C76" s="4" t="str">
        <f>$C$3&amp;A76</f>
        <v>41840203</v>
      </c>
      <c r="D76" s="3" t="s">
        <v>960</v>
      </c>
      <c r="E76" s="2" t="s">
        <v>876</v>
      </c>
      <c r="F76" s="3" t="s">
        <v>980</v>
      </c>
      <c r="G76" s="3" t="s">
        <v>2345</v>
      </c>
      <c r="H76" s="3" t="s">
        <v>2365</v>
      </c>
      <c r="I76" s="21">
        <v>-351577.52</v>
      </c>
      <c r="J76" s="4" t="str">
        <f>IF(COUNTIF('YCOA-Konten'!$A$5:$A$708,C76)&gt;0,"belegt",IF(COUNTIF($C$6:$C$90,C76)&gt;1,"doppelt","frei"))</f>
        <v>frei</v>
      </c>
      <c r="K76" s="3" t="s">
        <v>2366</v>
      </c>
    </row>
    <row r="77" spans="1:11" ht="24" x14ac:dyDescent="0.25">
      <c r="A77" s="2" t="s">
        <v>961</v>
      </c>
      <c r="B77" s="3" t="s">
        <v>962</v>
      </c>
      <c r="C77" s="4" t="str">
        <f>$C$3&amp;A77</f>
        <v>41840204</v>
      </c>
      <c r="D77" s="3" t="s">
        <v>962</v>
      </c>
      <c r="E77" s="2" t="s">
        <v>876</v>
      </c>
      <c r="F77" s="3" t="s">
        <v>980</v>
      </c>
      <c r="G77" s="3" t="s">
        <v>2345</v>
      </c>
      <c r="H77" s="3" t="s">
        <v>2365</v>
      </c>
      <c r="I77" s="21">
        <v>-262753.28000000003</v>
      </c>
      <c r="J77" s="4" t="str">
        <f>IF(COUNTIF('YCOA-Konten'!$A$5:$A$708,C77)&gt;0,"belegt",IF(COUNTIF($C$6:$C$90,C77)&gt;1,"doppelt","frei"))</f>
        <v>frei</v>
      </c>
      <c r="K77" s="3" t="s">
        <v>2366</v>
      </c>
    </row>
    <row r="78" spans="1:11" ht="24" x14ac:dyDescent="0.25">
      <c r="A78" s="2" t="s">
        <v>963</v>
      </c>
      <c r="B78" s="3" t="s">
        <v>964</v>
      </c>
      <c r="C78" s="4" t="str">
        <f>$C$3&amp;A78</f>
        <v>41840205</v>
      </c>
      <c r="D78" s="3" t="s">
        <v>964</v>
      </c>
      <c r="E78" s="2" t="s">
        <v>876</v>
      </c>
      <c r="F78" s="3" t="s">
        <v>980</v>
      </c>
      <c r="G78" s="3" t="s">
        <v>2345</v>
      </c>
      <c r="H78" s="3" t="s">
        <v>2365</v>
      </c>
      <c r="I78" s="21">
        <v>-65883.55</v>
      </c>
      <c r="J78" s="4" t="str">
        <f>IF(COUNTIF('YCOA-Konten'!$A$5:$A$708,C78)&gt;0,"belegt",IF(COUNTIF($C$6:$C$90,C78)&gt;1,"doppelt","frei"))</f>
        <v>frei</v>
      </c>
      <c r="K78" s="3" t="s">
        <v>2366</v>
      </c>
    </row>
    <row r="79" spans="1:11" ht="24" x14ac:dyDescent="0.25">
      <c r="A79" s="2" t="s">
        <v>965</v>
      </c>
      <c r="B79" s="3" t="s">
        <v>966</v>
      </c>
      <c r="C79" s="4" t="str">
        <f>$C$3&amp;A79</f>
        <v>41840206</v>
      </c>
      <c r="D79" s="3" t="s">
        <v>966</v>
      </c>
      <c r="E79" s="2" t="s">
        <v>876</v>
      </c>
      <c r="F79" s="3" t="s">
        <v>980</v>
      </c>
      <c r="G79" s="3" t="s">
        <v>2345</v>
      </c>
      <c r="H79" s="3" t="s">
        <v>2365</v>
      </c>
      <c r="I79" s="21">
        <v>-2121405.64</v>
      </c>
      <c r="J79" s="4" t="str">
        <f>IF(COUNTIF('YCOA-Konten'!$A$5:$A$708,C79)&gt;0,"belegt",IF(COUNTIF($C$6:$C$90,C79)&gt;1,"doppelt","frei"))</f>
        <v>frei</v>
      </c>
      <c r="K79" s="3" t="s">
        <v>2366</v>
      </c>
    </row>
    <row r="80" spans="1:11" ht="24" x14ac:dyDescent="0.25">
      <c r="A80" s="2" t="s">
        <v>967</v>
      </c>
      <c r="B80" s="3" t="s">
        <v>968</v>
      </c>
      <c r="C80" s="4" t="str">
        <f>$C$3&amp;A80</f>
        <v>41841000</v>
      </c>
      <c r="D80" s="3" t="s">
        <v>968</v>
      </c>
      <c r="E80" s="2" t="s">
        <v>876</v>
      </c>
      <c r="F80" s="3" t="s">
        <v>980</v>
      </c>
      <c r="G80" s="3" t="s">
        <v>2345</v>
      </c>
      <c r="H80" s="3" t="s">
        <v>2365</v>
      </c>
      <c r="I80" s="21">
        <v>-229916.07</v>
      </c>
      <c r="J80" s="4" t="str">
        <f>IF(COUNTIF('YCOA-Konten'!$A$5:$A$708,C80)&gt;0,"belegt",IF(COUNTIF($C$6:$C$90,C80)&gt;1,"doppelt","frei"))</f>
        <v>frei</v>
      </c>
      <c r="K80" s="3"/>
    </row>
    <row r="81" spans="1:11" ht="24" x14ac:dyDescent="0.25">
      <c r="A81" s="2" t="s">
        <v>2190</v>
      </c>
      <c r="B81" s="3" t="s">
        <v>2191</v>
      </c>
      <c r="C81" s="4" t="str">
        <f>$C$3&amp;A81</f>
        <v>41841300</v>
      </c>
      <c r="D81" s="3" t="s">
        <v>2191</v>
      </c>
      <c r="E81" s="2" t="s">
        <v>876</v>
      </c>
      <c r="F81" s="3" t="s">
        <v>980</v>
      </c>
      <c r="G81" s="3" t="s">
        <v>2345</v>
      </c>
      <c r="H81" s="3" t="s">
        <v>2367</v>
      </c>
      <c r="I81" s="21"/>
      <c r="J81" s="4" t="str">
        <f>IF(COUNTIF('YCOA-Konten'!$A$5:$A$708,C81)&gt;0,"belegt",IF(COUNTIF($C$6:$C$90,C81)&gt;1,"doppelt","frei"))</f>
        <v>frei</v>
      </c>
      <c r="K81" s="3" t="s">
        <v>2353</v>
      </c>
    </row>
    <row r="82" spans="1:11" ht="24" x14ac:dyDescent="0.25">
      <c r="A82" s="2" t="s">
        <v>2193</v>
      </c>
      <c r="B82" s="3" t="s">
        <v>2194</v>
      </c>
      <c r="C82" s="4" t="str">
        <f>$C$3&amp;A82</f>
        <v>41841400</v>
      </c>
      <c r="D82" s="3" t="s">
        <v>2194</v>
      </c>
      <c r="E82" s="2" t="s">
        <v>876</v>
      </c>
      <c r="F82" s="3" t="s">
        <v>980</v>
      </c>
      <c r="G82" s="3" t="s">
        <v>2345</v>
      </c>
      <c r="H82" s="3" t="s">
        <v>2367</v>
      </c>
      <c r="I82" s="21"/>
      <c r="J82" s="4" t="str">
        <f>IF(COUNTIF('YCOA-Konten'!$A$5:$A$708,C82)&gt;0,"belegt",IF(COUNTIF($C$6:$C$90,C82)&gt;1,"doppelt","frei"))</f>
        <v>frei</v>
      </c>
      <c r="K82" s="3" t="s">
        <v>2353</v>
      </c>
    </row>
    <row r="83" spans="1:11" ht="24" x14ac:dyDescent="0.25">
      <c r="A83" s="2" t="s">
        <v>969</v>
      </c>
      <c r="B83" s="3" t="s">
        <v>970</v>
      </c>
      <c r="C83" s="4" t="str">
        <f>$C$3&amp;A83</f>
        <v>41846000</v>
      </c>
      <c r="D83" s="3" t="s">
        <v>970</v>
      </c>
      <c r="E83" s="2" t="s">
        <v>876</v>
      </c>
      <c r="F83" s="3" t="s">
        <v>980</v>
      </c>
      <c r="G83" s="3" t="s">
        <v>2345</v>
      </c>
      <c r="H83" s="3" t="s">
        <v>2365</v>
      </c>
      <c r="I83" s="21">
        <v>-295980.71999999997</v>
      </c>
      <c r="J83" s="4" t="str">
        <f>IF(COUNTIF('YCOA-Konten'!$A$5:$A$708,C83)&gt;0,"belegt",IF(COUNTIF($C$6:$C$90,C83)&gt;1,"doppelt","frei"))</f>
        <v>frei</v>
      </c>
      <c r="K83" s="3"/>
    </row>
    <row r="84" spans="1:11" ht="24" x14ac:dyDescent="0.25">
      <c r="A84" s="2" t="s">
        <v>2138</v>
      </c>
      <c r="B84" s="3" t="s">
        <v>2139</v>
      </c>
      <c r="C84" s="4" t="str">
        <f>$C$3&amp;A84</f>
        <v>41860000</v>
      </c>
      <c r="D84" s="3" t="s">
        <v>2139</v>
      </c>
      <c r="E84" s="2" t="s">
        <v>876</v>
      </c>
      <c r="F84" s="3" t="s">
        <v>980</v>
      </c>
      <c r="G84" s="3" t="s">
        <v>2345</v>
      </c>
      <c r="H84" s="3" t="s">
        <v>2368</v>
      </c>
      <c r="I84" s="21"/>
      <c r="J84" s="4" t="str">
        <f>IF(COUNTIF('YCOA-Konten'!$A$5:$A$708,C84)&gt;0,"belegt",IF(COUNTIF($C$6:$C$90,C84)&gt;1,"doppelt","frei"))</f>
        <v>frei</v>
      </c>
      <c r="K84" s="3" t="s">
        <v>2353</v>
      </c>
    </row>
    <row r="85" spans="1:11" ht="24" x14ac:dyDescent="0.25">
      <c r="A85" s="2" t="s">
        <v>975</v>
      </c>
      <c r="B85" s="3" t="s">
        <v>976</v>
      </c>
      <c r="C85" s="4" t="str">
        <f>$C$3&amp;A85</f>
        <v>41863000</v>
      </c>
      <c r="D85" s="3" t="s">
        <v>976</v>
      </c>
      <c r="E85" s="2" t="s">
        <v>876</v>
      </c>
      <c r="F85" s="3" t="s">
        <v>980</v>
      </c>
      <c r="G85" s="3" t="s">
        <v>2345</v>
      </c>
      <c r="H85" s="3" t="s">
        <v>2354</v>
      </c>
      <c r="I85" s="21">
        <v>-3973830.6</v>
      </c>
      <c r="J85" s="4" t="str">
        <f>IF(COUNTIF('YCOA-Konten'!$A$5:$A$708,C85)&gt;0,"belegt",IF(COUNTIF($C$6:$C$90,C85)&gt;1,"doppelt","frei"))</f>
        <v>frei</v>
      </c>
      <c r="K85" s="3"/>
    </row>
    <row r="86" spans="1:11" ht="24" x14ac:dyDescent="0.25">
      <c r="A86" s="2" t="s">
        <v>982</v>
      </c>
      <c r="B86" s="3" t="s">
        <v>983</v>
      </c>
      <c r="C86" s="4" t="str">
        <f>$C$3&amp;A86</f>
        <v>41863100</v>
      </c>
      <c r="D86" s="3" t="s">
        <v>983</v>
      </c>
      <c r="E86" s="2" t="s">
        <v>876</v>
      </c>
      <c r="F86" s="3" t="s">
        <v>980</v>
      </c>
      <c r="G86" s="3" t="s">
        <v>2345</v>
      </c>
      <c r="H86" s="3" t="s">
        <v>2354</v>
      </c>
      <c r="I86" s="21">
        <v>-2075744.15</v>
      </c>
      <c r="J86" s="4" t="str">
        <f>IF(COUNTIF('YCOA-Konten'!$A$5:$A$708,C86)&gt;0,"belegt",IF(COUNTIF($C$6:$C$90,C86)&gt;1,"doppelt","frei"))</f>
        <v>frei</v>
      </c>
      <c r="K86" s="3" t="s">
        <v>2369</v>
      </c>
    </row>
    <row r="87" spans="1:11" ht="24" x14ac:dyDescent="0.25">
      <c r="A87" s="2" t="s">
        <v>988</v>
      </c>
      <c r="B87" s="3" t="s">
        <v>989</v>
      </c>
      <c r="C87" s="4" t="str">
        <f>$C$3&amp;A87</f>
        <v>41863310</v>
      </c>
      <c r="D87" s="3" t="s">
        <v>989</v>
      </c>
      <c r="E87" s="2" t="s">
        <v>876</v>
      </c>
      <c r="F87" s="3" t="s">
        <v>980</v>
      </c>
      <c r="G87" s="3" t="s">
        <v>2345</v>
      </c>
      <c r="H87" s="3" t="s">
        <v>2354</v>
      </c>
      <c r="I87" s="21">
        <v>-860291.76</v>
      </c>
      <c r="J87" s="4" t="str">
        <f>IF(COUNTIF('YCOA-Konten'!$A$5:$A$708,C87)&gt;0,"belegt",IF(COUNTIF($C$6:$C$90,C87)&gt;1,"doppelt","frei"))</f>
        <v>frei</v>
      </c>
      <c r="K87" s="3"/>
    </row>
    <row r="88" spans="1:11" ht="24" x14ac:dyDescent="0.25">
      <c r="A88" s="2" t="s">
        <v>991</v>
      </c>
      <c r="B88" s="3" t="s">
        <v>992</v>
      </c>
      <c r="C88" s="4" t="str">
        <f>$C$3&amp;A88</f>
        <v>41863331</v>
      </c>
      <c r="D88" s="3" t="s">
        <v>992</v>
      </c>
      <c r="E88" s="2" t="s">
        <v>876</v>
      </c>
      <c r="F88" s="3" t="s">
        <v>980</v>
      </c>
      <c r="G88" s="3" t="s">
        <v>2345</v>
      </c>
      <c r="H88" s="3" t="s">
        <v>2354</v>
      </c>
      <c r="I88" s="21">
        <v>-3049048.73</v>
      </c>
      <c r="J88" s="4" t="str">
        <f>IF(COUNTIF('YCOA-Konten'!$A$5:$A$708,C88)&gt;0,"belegt",IF(COUNTIF($C$6:$C$90,C88)&gt;1,"doppelt","frei"))</f>
        <v>frei</v>
      </c>
      <c r="K88" s="3"/>
    </row>
    <row r="89" spans="1:11" ht="24" x14ac:dyDescent="0.25">
      <c r="A89" s="2" t="s">
        <v>993</v>
      </c>
      <c r="B89" s="3" t="s">
        <v>994</v>
      </c>
      <c r="C89" s="4" t="str">
        <f>$C$3&amp;A89</f>
        <v>41863440</v>
      </c>
      <c r="D89" s="3" t="s">
        <v>994</v>
      </c>
      <c r="E89" s="2" t="s">
        <v>876</v>
      </c>
      <c r="F89" s="3" t="s">
        <v>980</v>
      </c>
      <c r="G89" s="3" t="s">
        <v>2345</v>
      </c>
      <c r="H89" s="3" t="s">
        <v>2354</v>
      </c>
      <c r="I89" s="21">
        <v>-1364736.33</v>
      </c>
      <c r="J89" s="4" t="str">
        <f>IF(COUNTIF('YCOA-Konten'!$A$5:$A$708,C89)&gt;0,"belegt",IF(COUNTIF($C$6:$C$90,C89)&gt;1,"doppelt","frei"))</f>
        <v>frei</v>
      </c>
      <c r="K89" s="3"/>
    </row>
    <row r="90" spans="1:11" ht="48" x14ac:dyDescent="0.25">
      <c r="A90" s="2" t="s">
        <v>1002</v>
      </c>
      <c r="B90" s="3" t="s">
        <v>1003</v>
      </c>
      <c r="C90" s="4" t="str">
        <f>$C$3&amp;A90</f>
        <v>41870000</v>
      </c>
      <c r="D90" s="3" t="s">
        <v>1003</v>
      </c>
      <c r="E90" s="2" t="s">
        <v>1024</v>
      </c>
      <c r="F90" s="3" t="s">
        <v>1025</v>
      </c>
      <c r="G90" s="3" t="s">
        <v>2370</v>
      </c>
      <c r="H90" s="3" t="s">
        <v>2371</v>
      </c>
      <c r="I90" s="21">
        <v>-3219669.6</v>
      </c>
      <c r="J90" s="4" t="str">
        <f>IF(COUNTIF('YCOA-Konten'!$A$5:$A$708,C90)&gt;0,"belegt",IF(COUNTIF($C$6:$C$90,C90)&gt;1,"doppelt","frei"))</f>
        <v>frei</v>
      </c>
      <c r="K90" s="3" t="s">
        <v>2372</v>
      </c>
    </row>
    <row r="91" spans="1:11" x14ac:dyDescent="0.25">
      <c r="B91" s="9" t="s">
        <v>2373</v>
      </c>
      <c r="C91" s="9">
        <f>COUNTA(A6:A90)</f>
        <v>85</v>
      </c>
      <c r="I91" s="22">
        <f>SUM(I6:I90)</f>
        <v>-476857883.57999986</v>
      </c>
    </row>
  </sheetData>
  <autoFilter ref="A5:K90" xr:uid="{00000000-0009-0000-0000-000002000000}">
    <sortState xmlns:xlrd2="http://schemas.microsoft.com/office/spreadsheetml/2017/richdata2" ref="A6:K91">
      <sortCondition ref="A5:A90"/>
    </sortState>
  </autoFilter>
  <mergeCells count="1">
    <mergeCell ref="A2:K2"/>
  </mergeCells>
  <conditionalFormatting sqref="J6:J90">
    <cfRule type="expression" dxfId="2" priority="1">
      <formula>$J6="frei"</formula>
    </cfRule>
    <cfRule type="expression" dxfId="1" priority="2">
      <formula>$J6&lt;&gt;"frei"</formula>
    </cfRule>
  </conditionalFormatting>
  <pageMargins left="0.75" right="0.75" top="1" bottom="1" header="0.5" footer="0.5"/>
  <pageSetup paperSize="8" fitToHeight="0" orientation="landscape"/>
  <headerFooter>
    <oddFooter>&amp;C&amp;8 &amp;A – Seite &amp;P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pageSetUpPr fitToPage="1"/>
  </sheetPr>
  <dimension ref="A1:G114"/>
  <sheetViews>
    <sheetView workbookViewId="0">
      <pane ySplit="4" topLeftCell="A5" activePane="bottomLeft" state="frozen"/>
      <selection pane="bottomLeft"/>
    </sheetView>
  </sheetViews>
  <sheetFormatPr defaultColWidth="9.140625" defaultRowHeight="15" x14ac:dyDescent="0.25"/>
  <cols>
    <col min="1" max="1" width="12" customWidth="1"/>
    <col min="2" max="2" width="14" customWidth="1"/>
    <col min="3" max="3" width="62" customWidth="1"/>
    <col min="4" max="4" width="46" customWidth="1"/>
    <col min="5" max="5" width="16" customWidth="1"/>
    <col min="6" max="6" width="80" customWidth="1"/>
    <col min="7" max="7" width="12" customWidth="1"/>
  </cols>
  <sheetData>
    <row r="1" spans="1:7" ht="18" x14ac:dyDescent="0.25">
      <c r="A1" s="5" t="s">
        <v>2374</v>
      </c>
    </row>
    <row r="2" spans="1:7" ht="39.950000000000003" customHeight="1" x14ac:dyDescent="0.25">
      <c r="A2" s="26" t="s">
        <v>2375</v>
      </c>
      <c r="B2" s="25"/>
      <c r="C2" s="25"/>
      <c r="D2" s="25"/>
      <c r="E2" s="25"/>
      <c r="F2" s="25"/>
      <c r="G2" s="25"/>
    </row>
    <row r="4" spans="1:7" ht="36" x14ac:dyDescent="0.25">
      <c r="A4" s="1" t="s">
        <v>2306</v>
      </c>
      <c r="B4" s="1" t="s">
        <v>2376</v>
      </c>
      <c r="C4" s="1" t="s">
        <v>2377</v>
      </c>
      <c r="D4" s="1" t="s">
        <v>2378</v>
      </c>
      <c r="E4" s="1" t="s">
        <v>2379</v>
      </c>
      <c r="F4" s="1" t="s">
        <v>2344</v>
      </c>
      <c r="G4" s="1" t="s">
        <v>2380</v>
      </c>
    </row>
    <row r="5" spans="1:7" ht="24" x14ac:dyDescent="0.25">
      <c r="A5" s="4" t="s">
        <v>2381</v>
      </c>
      <c r="B5" s="2" t="s">
        <v>2382</v>
      </c>
      <c r="C5" s="3" t="s">
        <v>2383</v>
      </c>
      <c r="D5" s="3" t="s">
        <v>2384</v>
      </c>
      <c r="E5" s="4" t="s">
        <v>2385</v>
      </c>
      <c r="F5" s="3" t="s">
        <v>2386</v>
      </c>
      <c r="G5" s="4">
        <f>COUNTIF(Mapping!$E$2:$E$601,"*["&amp;B5&amp;"*")</f>
        <v>1</v>
      </c>
    </row>
    <row r="6" spans="1:7" ht="36" x14ac:dyDescent="0.25">
      <c r="A6" s="4" t="s">
        <v>2381</v>
      </c>
      <c r="B6" s="2" t="s">
        <v>2387</v>
      </c>
      <c r="C6" s="3" t="s">
        <v>2388</v>
      </c>
      <c r="D6" s="3" t="s">
        <v>2389</v>
      </c>
      <c r="E6" s="4" t="s">
        <v>2390</v>
      </c>
      <c r="F6" s="3" t="s">
        <v>2391</v>
      </c>
      <c r="G6" s="4">
        <f>COUNTIF(Mapping!$E$2:$E$601,"*["&amp;B6&amp;"*")</f>
        <v>1</v>
      </c>
    </row>
    <row r="7" spans="1:7" ht="36" x14ac:dyDescent="0.25">
      <c r="A7" s="4" t="s">
        <v>2381</v>
      </c>
      <c r="B7" s="2" t="s">
        <v>2392</v>
      </c>
      <c r="C7" s="3" t="s">
        <v>2393</v>
      </c>
      <c r="D7" s="3" t="s">
        <v>2394</v>
      </c>
      <c r="E7" s="4" t="s">
        <v>2385</v>
      </c>
      <c r="F7" s="3" t="s">
        <v>2395</v>
      </c>
      <c r="G7" s="4">
        <f>COUNTIF(Mapping!$E$2:$E$601,"*["&amp;B7&amp;"*")</f>
        <v>1</v>
      </c>
    </row>
    <row r="8" spans="1:7" ht="36" x14ac:dyDescent="0.25">
      <c r="A8" s="4" t="s">
        <v>2381</v>
      </c>
      <c r="B8" s="2" t="s">
        <v>2396</v>
      </c>
      <c r="C8" s="3" t="s">
        <v>2397</v>
      </c>
      <c r="D8" s="3" t="s">
        <v>2394</v>
      </c>
      <c r="E8" s="4" t="s">
        <v>2385</v>
      </c>
      <c r="F8" s="3" t="s">
        <v>2395</v>
      </c>
      <c r="G8" s="4">
        <f>COUNTIF(Mapping!$E$2:$E$601,"*["&amp;B8&amp;"*")</f>
        <v>1</v>
      </c>
    </row>
    <row r="9" spans="1:7" ht="36" x14ac:dyDescent="0.25">
      <c r="A9" s="4" t="s">
        <v>2381</v>
      </c>
      <c r="B9" s="2" t="s">
        <v>2398</v>
      </c>
      <c r="C9" s="3" t="s">
        <v>2399</v>
      </c>
      <c r="D9" s="3" t="s">
        <v>2394</v>
      </c>
      <c r="E9" s="4" t="s">
        <v>2385</v>
      </c>
      <c r="F9" s="3" t="s">
        <v>2395</v>
      </c>
      <c r="G9" s="4">
        <f>COUNTIF(Mapping!$E$2:$E$601,"*["&amp;B9&amp;"*")</f>
        <v>1</v>
      </c>
    </row>
    <row r="10" spans="1:7" ht="36" x14ac:dyDescent="0.25">
      <c r="A10" s="4" t="s">
        <v>2381</v>
      </c>
      <c r="B10" s="2" t="s">
        <v>2400</v>
      </c>
      <c r="C10" s="3" t="s">
        <v>2401</v>
      </c>
      <c r="D10" s="3" t="s">
        <v>2394</v>
      </c>
      <c r="E10" s="4" t="s">
        <v>2385</v>
      </c>
      <c r="F10" s="3" t="s">
        <v>2395</v>
      </c>
      <c r="G10" s="4">
        <f>COUNTIF(Mapping!$E$2:$E$601,"*["&amp;B10&amp;"*")</f>
        <v>1</v>
      </c>
    </row>
    <row r="11" spans="1:7" ht="36" x14ac:dyDescent="0.25">
      <c r="A11" s="4" t="s">
        <v>2381</v>
      </c>
      <c r="B11" s="2" t="s">
        <v>2402</v>
      </c>
      <c r="C11" s="3" t="s">
        <v>2403</v>
      </c>
      <c r="D11" s="3" t="s">
        <v>2394</v>
      </c>
      <c r="E11" s="4" t="s">
        <v>2385</v>
      </c>
      <c r="F11" s="3" t="s">
        <v>2395</v>
      </c>
      <c r="G11" s="4">
        <f>COUNTIF(Mapping!$E$2:$E$601,"*["&amp;B11&amp;"*")</f>
        <v>1</v>
      </c>
    </row>
    <row r="12" spans="1:7" ht="36" x14ac:dyDescent="0.25">
      <c r="A12" s="4" t="s">
        <v>2381</v>
      </c>
      <c r="B12" s="2" t="s">
        <v>2404</v>
      </c>
      <c r="C12" s="3" t="s">
        <v>2405</v>
      </c>
      <c r="D12" s="3" t="s">
        <v>2394</v>
      </c>
      <c r="E12" s="4" t="s">
        <v>2385</v>
      </c>
      <c r="F12" s="3" t="s">
        <v>2395</v>
      </c>
      <c r="G12" s="4">
        <f>COUNTIF(Mapping!$E$2:$E$601,"*["&amp;B12&amp;"*")</f>
        <v>1</v>
      </c>
    </row>
    <row r="13" spans="1:7" ht="36" x14ac:dyDescent="0.25">
      <c r="A13" s="4" t="s">
        <v>2381</v>
      </c>
      <c r="B13" s="2" t="s">
        <v>2406</v>
      </c>
      <c r="C13" s="3" t="s">
        <v>2407</v>
      </c>
      <c r="D13" s="3" t="s">
        <v>2394</v>
      </c>
      <c r="E13" s="4" t="s">
        <v>2385</v>
      </c>
      <c r="F13" s="3" t="s">
        <v>2395</v>
      </c>
      <c r="G13" s="4">
        <f>COUNTIF(Mapping!$E$2:$E$601,"*["&amp;B13&amp;"*")</f>
        <v>1</v>
      </c>
    </row>
    <row r="14" spans="1:7" ht="24" x14ac:dyDescent="0.25">
      <c r="A14" s="4" t="s">
        <v>2381</v>
      </c>
      <c r="B14" s="2" t="s">
        <v>2408</v>
      </c>
      <c r="C14" s="3" t="s">
        <v>2409</v>
      </c>
      <c r="D14" s="3" t="s">
        <v>2394</v>
      </c>
      <c r="E14" s="4" t="s">
        <v>2385</v>
      </c>
      <c r="F14" s="3" t="s">
        <v>2410</v>
      </c>
      <c r="G14" s="4">
        <f>COUNTIF(Mapping!$E$2:$E$601,"*["&amp;B14&amp;"*")</f>
        <v>1</v>
      </c>
    </row>
    <row r="15" spans="1:7" ht="36" x14ac:dyDescent="0.25">
      <c r="A15" s="4" t="s">
        <v>2381</v>
      </c>
      <c r="B15" s="2" t="s">
        <v>2411</v>
      </c>
      <c r="C15" s="3" t="s">
        <v>2412</v>
      </c>
      <c r="D15" s="3" t="s">
        <v>2413</v>
      </c>
      <c r="E15" s="4" t="s">
        <v>2390</v>
      </c>
      <c r="F15" s="3" t="s">
        <v>2414</v>
      </c>
      <c r="G15" s="4">
        <f>COUNTIF(Mapping!$E$2:$E$601,"*["&amp;B15&amp;"*")</f>
        <v>4</v>
      </c>
    </row>
    <row r="16" spans="1:7" ht="36" x14ac:dyDescent="0.25">
      <c r="A16" s="4" t="s">
        <v>2381</v>
      </c>
      <c r="B16" s="2" t="s">
        <v>2415</v>
      </c>
      <c r="C16" s="3" t="s">
        <v>2416</v>
      </c>
      <c r="D16" s="3" t="s">
        <v>2413</v>
      </c>
      <c r="E16" s="4" t="s">
        <v>2390</v>
      </c>
      <c r="F16" s="3" t="s">
        <v>2414</v>
      </c>
      <c r="G16" s="4">
        <f>COUNTIF(Mapping!$E$2:$E$601,"*["&amp;B16&amp;"*")</f>
        <v>3</v>
      </c>
    </row>
    <row r="17" spans="1:7" ht="36" x14ac:dyDescent="0.25">
      <c r="A17" s="4" t="s">
        <v>2381</v>
      </c>
      <c r="B17" s="2" t="s">
        <v>2417</v>
      </c>
      <c r="C17" s="3" t="s">
        <v>2418</v>
      </c>
      <c r="D17" s="3" t="s">
        <v>2413</v>
      </c>
      <c r="E17" s="4" t="s">
        <v>2390</v>
      </c>
      <c r="F17" s="3" t="s">
        <v>2414</v>
      </c>
      <c r="G17" s="4">
        <f>COUNTIF(Mapping!$E$2:$E$601,"*["&amp;B17&amp;"*")</f>
        <v>1</v>
      </c>
    </row>
    <row r="18" spans="1:7" ht="36" x14ac:dyDescent="0.25">
      <c r="A18" s="4" t="s">
        <v>2381</v>
      </c>
      <c r="B18" s="2" t="s">
        <v>2419</v>
      </c>
      <c r="C18" s="3" t="s">
        <v>2420</v>
      </c>
      <c r="D18" s="3" t="s">
        <v>2413</v>
      </c>
      <c r="E18" s="4" t="s">
        <v>2390</v>
      </c>
      <c r="F18" s="3" t="s">
        <v>2414</v>
      </c>
      <c r="G18" s="4">
        <f>COUNTIF(Mapping!$E$2:$E$601,"*["&amp;B18&amp;"*")</f>
        <v>1</v>
      </c>
    </row>
    <row r="19" spans="1:7" ht="24" x14ac:dyDescent="0.25">
      <c r="A19" s="4" t="s">
        <v>2381</v>
      </c>
      <c r="B19" s="2" t="s">
        <v>2421</v>
      </c>
      <c r="C19" s="3" t="s">
        <v>2422</v>
      </c>
      <c r="D19" s="3" t="s">
        <v>2423</v>
      </c>
      <c r="E19" s="4" t="s">
        <v>2424</v>
      </c>
      <c r="F19" s="3" t="s">
        <v>2425</v>
      </c>
      <c r="G19" s="4">
        <f>COUNTIF(Mapping!$E$2:$E$601,"*["&amp;B19&amp;"*")</f>
        <v>22</v>
      </c>
    </row>
    <row r="20" spans="1:7" ht="36" x14ac:dyDescent="0.25">
      <c r="A20" s="4" t="s">
        <v>2381</v>
      </c>
      <c r="B20" s="2" t="s">
        <v>2426</v>
      </c>
      <c r="C20" s="3" t="s">
        <v>2427</v>
      </c>
      <c r="D20" s="3" t="s">
        <v>2428</v>
      </c>
      <c r="E20" s="4" t="s">
        <v>2390</v>
      </c>
      <c r="F20" s="3" t="s">
        <v>2429</v>
      </c>
      <c r="G20" s="4">
        <f>COUNTIF(Mapping!$E$2:$E$601,"*["&amp;B20&amp;"*")</f>
        <v>14</v>
      </c>
    </row>
    <row r="21" spans="1:7" ht="36" x14ac:dyDescent="0.25">
      <c r="A21" s="4" t="s">
        <v>2381</v>
      </c>
      <c r="B21" s="2" t="s">
        <v>2430</v>
      </c>
      <c r="C21" s="3" t="s">
        <v>2431</v>
      </c>
      <c r="D21" s="3" t="s">
        <v>2432</v>
      </c>
      <c r="E21" s="4" t="s">
        <v>2385</v>
      </c>
      <c r="F21" s="3" t="s">
        <v>2433</v>
      </c>
      <c r="G21" s="4">
        <f>COUNTIF(Mapping!$E$2:$E$601,"*["&amp;B21&amp;"*")</f>
        <v>5</v>
      </c>
    </row>
    <row r="22" spans="1:7" ht="36" x14ac:dyDescent="0.25">
      <c r="A22" s="4" t="s">
        <v>2381</v>
      </c>
      <c r="B22" s="2" t="s">
        <v>2434</v>
      </c>
      <c r="C22" s="3" t="s">
        <v>2435</v>
      </c>
      <c r="D22" s="3" t="s">
        <v>2432</v>
      </c>
      <c r="E22" s="4" t="s">
        <v>2385</v>
      </c>
      <c r="F22" s="3" t="s">
        <v>2433</v>
      </c>
      <c r="G22" s="4">
        <f>COUNTIF(Mapping!$E$2:$E$601,"*["&amp;B22&amp;"*")</f>
        <v>4</v>
      </c>
    </row>
    <row r="23" spans="1:7" ht="36" x14ac:dyDescent="0.25">
      <c r="A23" s="4" t="s">
        <v>2381</v>
      </c>
      <c r="B23" s="2" t="s">
        <v>2436</v>
      </c>
      <c r="C23" s="3" t="s">
        <v>2437</v>
      </c>
      <c r="D23" s="3" t="s">
        <v>2432</v>
      </c>
      <c r="E23" s="4" t="s">
        <v>2385</v>
      </c>
      <c r="F23" s="3" t="s">
        <v>2433</v>
      </c>
      <c r="G23" s="4">
        <f>COUNTIF(Mapping!$E$2:$E$601,"*["&amp;B23&amp;"*")</f>
        <v>5</v>
      </c>
    </row>
    <row r="24" spans="1:7" ht="36" x14ac:dyDescent="0.25">
      <c r="A24" s="4" t="s">
        <v>2381</v>
      </c>
      <c r="B24" s="2" t="s">
        <v>2438</v>
      </c>
      <c r="C24" s="3" t="s">
        <v>2439</v>
      </c>
      <c r="D24" s="3" t="s">
        <v>2428</v>
      </c>
      <c r="E24" s="4" t="s">
        <v>2390</v>
      </c>
      <c r="F24" s="3" t="s">
        <v>2440</v>
      </c>
      <c r="G24" s="4">
        <f>COUNTIF(Mapping!$E$2:$E$601,"*["&amp;B24&amp;"*")</f>
        <v>2</v>
      </c>
    </row>
    <row r="25" spans="1:7" ht="24" x14ac:dyDescent="0.25">
      <c r="A25" s="4" t="s">
        <v>2381</v>
      </c>
      <c r="B25" s="2" t="s">
        <v>2441</v>
      </c>
      <c r="C25" s="3" t="s">
        <v>2442</v>
      </c>
      <c r="D25" s="3" t="s">
        <v>2443</v>
      </c>
      <c r="E25" s="4" t="s">
        <v>2385</v>
      </c>
      <c r="F25" s="3" t="s">
        <v>2444</v>
      </c>
      <c r="G25" s="4">
        <f>COUNTIF(Mapping!$E$2:$E$601,"*["&amp;B25&amp;"*")</f>
        <v>9</v>
      </c>
    </row>
    <row r="26" spans="1:7" ht="36" x14ac:dyDescent="0.25">
      <c r="A26" s="4" t="s">
        <v>2381</v>
      </c>
      <c r="B26" s="2" t="s">
        <v>2445</v>
      </c>
      <c r="C26" s="3" t="s">
        <v>2446</v>
      </c>
      <c r="D26" s="3" t="s">
        <v>2447</v>
      </c>
      <c r="E26" s="4" t="s">
        <v>2385</v>
      </c>
      <c r="F26" s="3" t="s">
        <v>2448</v>
      </c>
      <c r="G26" s="4">
        <f>COUNTIF(Mapping!$E$2:$E$601,"*["&amp;B26&amp;"*")</f>
        <v>2</v>
      </c>
    </row>
    <row r="27" spans="1:7" ht="24" x14ac:dyDescent="0.25">
      <c r="A27" s="4" t="s">
        <v>2381</v>
      </c>
      <c r="B27" s="2" t="s">
        <v>2449</v>
      </c>
      <c r="C27" s="3" t="s">
        <v>2450</v>
      </c>
      <c r="D27" s="3" t="s">
        <v>2443</v>
      </c>
      <c r="E27" s="4" t="s">
        <v>2385</v>
      </c>
      <c r="F27" s="3" t="s">
        <v>2451</v>
      </c>
      <c r="G27" s="4">
        <f>COUNTIF(Mapping!$E$2:$E$601,"*["&amp;B27&amp;"*")</f>
        <v>2</v>
      </c>
    </row>
    <row r="28" spans="1:7" ht="24" x14ac:dyDescent="0.25">
      <c r="A28" s="4" t="s">
        <v>2381</v>
      </c>
      <c r="B28" s="2" t="s">
        <v>2452</v>
      </c>
      <c r="C28" s="3" t="s">
        <v>2453</v>
      </c>
      <c r="D28" s="3" t="s">
        <v>2454</v>
      </c>
      <c r="E28" s="4" t="s">
        <v>2424</v>
      </c>
      <c r="F28" s="3" t="s">
        <v>2455</v>
      </c>
      <c r="G28" s="4">
        <f>COUNTIF(Mapping!$E$2:$E$601,"*["&amp;B28&amp;"*")</f>
        <v>1</v>
      </c>
    </row>
    <row r="29" spans="1:7" ht="24" x14ac:dyDescent="0.25">
      <c r="A29" s="4" t="s">
        <v>2381</v>
      </c>
      <c r="B29" s="2" t="s">
        <v>2456</v>
      </c>
      <c r="C29" s="3" t="s">
        <v>2457</v>
      </c>
      <c r="D29" s="3" t="s">
        <v>2458</v>
      </c>
      <c r="E29" s="4" t="s">
        <v>2424</v>
      </c>
      <c r="F29" s="3" t="s">
        <v>2459</v>
      </c>
      <c r="G29" s="4">
        <f>COUNTIF(Mapping!$E$2:$E$601,"*["&amp;B29&amp;"*")</f>
        <v>21</v>
      </c>
    </row>
    <row r="30" spans="1:7" ht="36" x14ac:dyDescent="0.25">
      <c r="A30" s="4" t="s">
        <v>2381</v>
      </c>
      <c r="B30" s="2" t="s">
        <v>2460</v>
      </c>
      <c r="C30" s="3" t="s">
        <v>2461</v>
      </c>
      <c r="D30" s="3" t="s">
        <v>2462</v>
      </c>
      <c r="E30" s="4" t="s">
        <v>2390</v>
      </c>
      <c r="F30" s="3" t="s">
        <v>2463</v>
      </c>
      <c r="G30" s="4">
        <f>COUNTIF(Mapping!$E$2:$E$601,"*["&amp;B30&amp;"*")</f>
        <v>1</v>
      </c>
    </row>
    <row r="31" spans="1:7" ht="24" x14ac:dyDescent="0.25">
      <c r="A31" s="4" t="s">
        <v>2381</v>
      </c>
      <c r="B31" s="2" t="s">
        <v>2464</v>
      </c>
      <c r="C31" s="3" t="s">
        <v>2465</v>
      </c>
      <c r="D31" s="3" t="s">
        <v>2466</v>
      </c>
      <c r="E31" s="4" t="s">
        <v>2467</v>
      </c>
      <c r="F31" s="3" t="s">
        <v>2468</v>
      </c>
      <c r="G31" s="4">
        <f>COUNTIF(Mapping!$E$2:$E$601,"*["&amp;B31&amp;"*")</f>
        <v>1</v>
      </c>
    </row>
    <row r="32" spans="1:7" ht="24" x14ac:dyDescent="0.25">
      <c r="A32" s="4" t="s">
        <v>2381</v>
      </c>
      <c r="B32" s="2" t="s">
        <v>2469</v>
      </c>
      <c r="C32" s="3" t="s">
        <v>2470</v>
      </c>
      <c r="D32" s="3" t="s">
        <v>2466</v>
      </c>
      <c r="E32" s="4" t="s">
        <v>2467</v>
      </c>
      <c r="F32" s="3" t="s">
        <v>2468</v>
      </c>
      <c r="G32" s="4">
        <f>COUNTIF(Mapping!$E$2:$E$601,"*["&amp;B32&amp;"*")</f>
        <v>1</v>
      </c>
    </row>
    <row r="33" spans="1:7" ht="36" x14ac:dyDescent="0.25">
      <c r="A33" s="4" t="s">
        <v>2471</v>
      </c>
      <c r="B33" s="2" t="s">
        <v>2472</v>
      </c>
      <c r="C33" s="3" t="s">
        <v>2473</v>
      </c>
      <c r="D33" s="3" t="s">
        <v>2474</v>
      </c>
      <c r="E33" s="4" t="s">
        <v>2390</v>
      </c>
      <c r="F33" s="3" t="s">
        <v>2475</v>
      </c>
      <c r="G33" s="4">
        <f>COUNTIF(Mapping!$E$2:$E$601,"*["&amp;B33&amp;"*")</f>
        <v>1</v>
      </c>
    </row>
    <row r="34" spans="1:7" ht="36" x14ac:dyDescent="0.25">
      <c r="A34" s="4" t="s">
        <v>2471</v>
      </c>
      <c r="B34" s="2" t="s">
        <v>2476</v>
      </c>
      <c r="C34" s="3" t="s">
        <v>2477</v>
      </c>
      <c r="D34" s="3" t="s">
        <v>2478</v>
      </c>
      <c r="E34" s="4" t="s">
        <v>2390</v>
      </c>
      <c r="F34" s="3" t="s">
        <v>2479</v>
      </c>
      <c r="G34" s="4">
        <f>COUNTIF(Mapping!$E$2:$E$601,"*["&amp;B34&amp;"*")</f>
        <v>1</v>
      </c>
    </row>
    <row r="35" spans="1:7" ht="36" x14ac:dyDescent="0.25">
      <c r="A35" s="4" t="s">
        <v>2471</v>
      </c>
      <c r="B35" s="2" t="s">
        <v>2480</v>
      </c>
      <c r="C35" s="3" t="s">
        <v>2481</v>
      </c>
      <c r="D35" s="3" t="s">
        <v>2478</v>
      </c>
      <c r="E35" s="4" t="s">
        <v>2390</v>
      </c>
      <c r="F35" s="3" t="s">
        <v>2479</v>
      </c>
      <c r="G35" s="4">
        <f>COUNTIF(Mapping!$E$2:$E$601,"*["&amp;B35&amp;"*")</f>
        <v>3</v>
      </c>
    </row>
    <row r="36" spans="1:7" ht="36" x14ac:dyDescent="0.25">
      <c r="A36" s="4" t="s">
        <v>2471</v>
      </c>
      <c r="B36" s="2" t="s">
        <v>2482</v>
      </c>
      <c r="C36" s="3" t="s">
        <v>2483</v>
      </c>
      <c r="D36" s="3" t="s">
        <v>2474</v>
      </c>
      <c r="E36" s="4" t="s">
        <v>2390</v>
      </c>
      <c r="F36" s="3" t="s">
        <v>2484</v>
      </c>
      <c r="G36" s="4">
        <f>COUNTIF(Mapping!$E$2:$E$601,"*["&amp;B36&amp;"*")</f>
        <v>1</v>
      </c>
    </row>
    <row r="37" spans="1:7" ht="24" x14ac:dyDescent="0.25">
      <c r="A37" s="4" t="s">
        <v>2471</v>
      </c>
      <c r="B37" s="2" t="s">
        <v>2485</v>
      </c>
      <c r="C37" s="3" t="s">
        <v>2486</v>
      </c>
      <c r="D37" s="3" t="s">
        <v>2466</v>
      </c>
      <c r="E37" s="4" t="s">
        <v>2467</v>
      </c>
      <c r="F37" s="3" t="s">
        <v>2468</v>
      </c>
      <c r="G37" s="4">
        <f>COUNTIF(Mapping!$E$2:$E$601,"*["&amp;B37&amp;"*")</f>
        <v>1</v>
      </c>
    </row>
    <row r="38" spans="1:7" ht="24" x14ac:dyDescent="0.25">
      <c r="A38" s="4" t="s">
        <v>2471</v>
      </c>
      <c r="B38" s="2" t="s">
        <v>2487</v>
      </c>
      <c r="C38" s="3" t="s">
        <v>2488</v>
      </c>
      <c r="D38" s="3" t="s">
        <v>2466</v>
      </c>
      <c r="E38" s="4" t="s">
        <v>2467</v>
      </c>
      <c r="F38" s="3" t="s">
        <v>2468</v>
      </c>
      <c r="G38" s="4">
        <f>COUNTIF(Mapping!$E$2:$E$601,"*["&amp;B38&amp;"*")</f>
        <v>3</v>
      </c>
    </row>
    <row r="39" spans="1:7" ht="24" x14ac:dyDescent="0.25">
      <c r="A39" s="4" t="s">
        <v>2471</v>
      </c>
      <c r="B39" s="2" t="s">
        <v>2489</v>
      </c>
      <c r="C39" s="3" t="s">
        <v>2490</v>
      </c>
      <c r="D39" s="3" t="s">
        <v>2466</v>
      </c>
      <c r="E39" s="4" t="s">
        <v>2467</v>
      </c>
      <c r="F39" s="3" t="s">
        <v>2468</v>
      </c>
      <c r="G39" s="4">
        <f>COUNTIF(Mapping!$E$2:$E$601,"*["&amp;B39&amp;"*")</f>
        <v>2</v>
      </c>
    </row>
    <row r="40" spans="1:7" ht="36" x14ac:dyDescent="0.25">
      <c r="A40" s="4" t="s">
        <v>2471</v>
      </c>
      <c r="B40" s="2" t="s">
        <v>2491</v>
      </c>
      <c r="C40" s="3" t="s">
        <v>2492</v>
      </c>
      <c r="D40" s="3" t="s">
        <v>2493</v>
      </c>
      <c r="E40" s="4" t="s">
        <v>2390</v>
      </c>
      <c r="F40" s="3" t="s">
        <v>2494</v>
      </c>
      <c r="G40" s="4">
        <f>COUNTIF(Mapping!$E$2:$E$601,"*["&amp;B40&amp;"*")</f>
        <v>2</v>
      </c>
    </row>
    <row r="41" spans="1:7" ht="36" x14ac:dyDescent="0.25">
      <c r="A41" s="4" t="s">
        <v>2471</v>
      </c>
      <c r="B41" s="2" t="s">
        <v>2495</v>
      </c>
      <c r="C41" s="3" t="s">
        <v>2496</v>
      </c>
      <c r="D41" s="3" t="s">
        <v>2493</v>
      </c>
      <c r="E41" s="4" t="s">
        <v>2390</v>
      </c>
      <c r="F41" s="3" t="s">
        <v>2494</v>
      </c>
      <c r="G41" s="4">
        <f>COUNTIF(Mapping!$E$2:$E$601,"*["&amp;B41&amp;"*")</f>
        <v>2</v>
      </c>
    </row>
    <row r="42" spans="1:7" ht="36" x14ac:dyDescent="0.25">
      <c r="A42" s="4" t="s">
        <v>2471</v>
      </c>
      <c r="B42" s="2" t="s">
        <v>2497</v>
      </c>
      <c r="C42" s="3" t="s">
        <v>2498</v>
      </c>
      <c r="D42" s="3" t="s">
        <v>2493</v>
      </c>
      <c r="E42" s="4" t="s">
        <v>2390</v>
      </c>
      <c r="F42" s="3" t="s">
        <v>2494</v>
      </c>
      <c r="G42" s="4">
        <f>COUNTIF(Mapping!$E$2:$E$601,"*["&amp;B42&amp;"*")</f>
        <v>2</v>
      </c>
    </row>
    <row r="43" spans="1:7" ht="36" x14ac:dyDescent="0.25">
      <c r="A43" s="4" t="s">
        <v>2471</v>
      </c>
      <c r="B43" s="2" t="s">
        <v>2499</v>
      </c>
      <c r="C43" s="3" t="s">
        <v>2500</v>
      </c>
      <c r="D43" s="3" t="s">
        <v>2493</v>
      </c>
      <c r="E43" s="4" t="s">
        <v>2390</v>
      </c>
      <c r="F43" s="3" t="s">
        <v>2494</v>
      </c>
      <c r="G43" s="4">
        <f>COUNTIF(Mapping!$E$2:$E$601,"*["&amp;B43&amp;"*")</f>
        <v>20</v>
      </c>
    </row>
    <row r="44" spans="1:7" ht="36" x14ac:dyDescent="0.25">
      <c r="A44" s="4" t="s">
        <v>2471</v>
      </c>
      <c r="B44" s="2" t="s">
        <v>2501</v>
      </c>
      <c r="C44" s="3" t="s">
        <v>2502</v>
      </c>
      <c r="D44" s="3" t="s">
        <v>2503</v>
      </c>
      <c r="E44" s="4" t="s">
        <v>2390</v>
      </c>
      <c r="F44" s="3" t="s">
        <v>2504</v>
      </c>
      <c r="G44" s="4">
        <f>COUNTIF(Mapping!$E$2:$E$601,"*["&amp;B44&amp;"*")</f>
        <v>3</v>
      </c>
    </row>
    <row r="45" spans="1:7" ht="36" x14ac:dyDescent="0.25">
      <c r="A45" s="4" t="s">
        <v>2471</v>
      </c>
      <c r="B45" s="2" t="s">
        <v>2505</v>
      </c>
      <c r="C45" s="3" t="s">
        <v>2506</v>
      </c>
      <c r="D45" s="3" t="s">
        <v>2503</v>
      </c>
      <c r="E45" s="4" t="s">
        <v>2390</v>
      </c>
      <c r="F45" s="3" t="s">
        <v>2504</v>
      </c>
      <c r="G45" s="4">
        <f>COUNTIF(Mapping!$E$2:$E$601,"*["&amp;B45&amp;"*")</f>
        <v>1</v>
      </c>
    </row>
    <row r="46" spans="1:7" ht="36" x14ac:dyDescent="0.25">
      <c r="A46" s="4" t="s">
        <v>2471</v>
      </c>
      <c r="B46" s="2" t="s">
        <v>2507</v>
      </c>
      <c r="C46" s="3" t="s">
        <v>2508</v>
      </c>
      <c r="D46" s="3" t="s">
        <v>2503</v>
      </c>
      <c r="E46" s="4" t="s">
        <v>2390</v>
      </c>
      <c r="F46" s="3" t="s">
        <v>2509</v>
      </c>
      <c r="G46" s="4">
        <f>COUNTIF(Mapping!$E$2:$E$601,"*["&amp;B46&amp;"*")</f>
        <v>1</v>
      </c>
    </row>
    <row r="47" spans="1:7" ht="24" x14ac:dyDescent="0.25">
      <c r="A47" s="4" t="s">
        <v>2471</v>
      </c>
      <c r="B47" s="2" t="s">
        <v>2510</v>
      </c>
      <c r="C47" s="3" t="s">
        <v>2511</v>
      </c>
      <c r="D47" s="3" t="s">
        <v>2466</v>
      </c>
      <c r="E47" s="4" t="s">
        <v>2467</v>
      </c>
      <c r="F47" s="3" t="s">
        <v>2468</v>
      </c>
      <c r="G47" s="4">
        <f>COUNTIF(Mapping!$E$2:$E$601,"*["&amp;B47&amp;"*")</f>
        <v>2</v>
      </c>
    </row>
    <row r="48" spans="1:7" ht="24" x14ac:dyDescent="0.25">
      <c r="A48" s="4" t="s">
        <v>2471</v>
      </c>
      <c r="B48" s="2" t="s">
        <v>2512</v>
      </c>
      <c r="C48" s="3" t="s">
        <v>2513</v>
      </c>
      <c r="D48" s="3" t="s">
        <v>2514</v>
      </c>
      <c r="E48" s="4" t="s">
        <v>2424</v>
      </c>
      <c r="F48" s="3" t="s">
        <v>2515</v>
      </c>
      <c r="G48" s="4">
        <f>COUNTIF(Mapping!$E$2:$E$601,"*["&amp;B48&amp;"*")</f>
        <v>5</v>
      </c>
    </row>
    <row r="49" spans="1:7" ht="24" x14ac:dyDescent="0.25">
      <c r="A49" s="4" t="s">
        <v>2471</v>
      </c>
      <c r="B49" s="2" t="s">
        <v>2516</v>
      </c>
      <c r="C49" s="3" t="s">
        <v>2517</v>
      </c>
      <c r="D49" s="3" t="s">
        <v>2466</v>
      </c>
      <c r="E49" s="4" t="s">
        <v>2467</v>
      </c>
      <c r="F49" s="3" t="s">
        <v>2468</v>
      </c>
      <c r="G49" s="4">
        <f>COUNTIF(Mapping!$E$2:$E$601,"*["&amp;B49&amp;"*")</f>
        <v>2</v>
      </c>
    </row>
    <row r="50" spans="1:7" ht="36" x14ac:dyDescent="0.25">
      <c r="A50" s="4" t="s">
        <v>2471</v>
      </c>
      <c r="B50" s="2" t="s">
        <v>2518</v>
      </c>
      <c r="C50" s="3" t="s">
        <v>2519</v>
      </c>
      <c r="D50" s="3" t="s">
        <v>2432</v>
      </c>
      <c r="E50" s="4" t="s">
        <v>2385</v>
      </c>
      <c r="F50" s="3" t="s">
        <v>2433</v>
      </c>
      <c r="G50" s="4">
        <f>COUNTIF(Mapping!$E$2:$E$601,"*["&amp;B50&amp;"*")</f>
        <v>4</v>
      </c>
    </row>
    <row r="51" spans="1:7" ht="36" x14ac:dyDescent="0.25">
      <c r="A51" s="4" t="s">
        <v>2471</v>
      </c>
      <c r="B51" s="2" t="s">
        <v>2520</v>
      </c>
      <c r="C51" s="3" t="s">
        <v>2521</v>
      </c>
      <c r="D51" s="3" t="s">
        <v>2522</v>
      </c>
      <c r="E51" s="4" t="s">
        <v>2390</v>
      </c>
      <c r="F51" s="3" t="s">
        <v>2523</v>
      </c>
      <c r="G51" s="4">
        <f>COUNTIF(Mapping!$E$2:$E$601,"*["&amp;B51&amp;"*")</f>
        <v>1</v>
      </c>
    </row>
    <row r="52" spans="1:7" ht="36" x14ac:dyDescent="0.25">
      <c r="A52" s="4" t="s">
        <v>2471</v>
      </c>
      <c r="B52" s="2" t="s">
        <v>2524</v>
      </c>
      <c r="C52" s="3" t="s">
        <v>2525</v>
      </c>
      <c r="D52" s="3" t="s">
        <v>2522</v>
      </c>
      <c r="E52" s="4" t="s">
        <v>2390</v>
      </c>
      <c r="F52" s="3" t="s">
        <v>2526</v>
      </c>
      <c r="G52" s="4">
        <f>COUNTIF(Mapping!$E$2:$E$601,"*["&amp;B52&amp;"*")</f>
        <v>2</v>
      </c>
    </row>
    <row r="53" spans="1:7" ht="24" x14ac:dyDescent="0.25">
      <c r="A53" s="4" t="s">
        <v>2471</v>
      </c>
      <c r="B53" s="2" t="s">
        <v>2527</v>
      </c>
      <c r="C53" s="3" t="s">
        <v>2528</v>
      </c>
      <c r="D53" s="3" t="s">
        <v>2447</v>
      </c>
      <c r="E53" s="4" t="s">
        <v>2385</v>
      </c>
      <c r="F53" s="3" t="s">
        <v>2448</v>
      </c>
      <c r="G53" s="4">
        <f>COUNTIF(Mapping!$E$2:$E$601,"*["&amp;B53&amp;"*")</f>
        <v>2</v>
      </c>
    </row>
    <row r="54" spans="1:7" ht="36" x14ac:dyDescent="0.25">
      <c r="A54" s="4" t="s">
        <v>2471</v>
      </c>
      <c r="B54" s="2" t="s">
        <v>2529</v>
      </c>
      <c r="C54" s="3" t="s">
        <v>2530</v>
      </c>
      <c r="D54" s="3" t="s">
        <v>2522</v>
      </c>
      <c r="E54" s="4" t="s">
        <v>2390</v>
      </c>
      <c r="F54" s="3" t="s">
        <v>2526</v>
      </c>
      <c r="G54" s="4">
        <f>COUNTIF(Mapping!$E$2:$E$601,"*["&amp;B54&amp;"*")</f>
        <v>1</v>
      </c>
    </row>
    <row r="55" spans="1:7" ht="36" x14ac:dyDescent="0.25">
      <c r="A55" s="4" t="s">
        <v>2471</v>
      </c>
      <c r="B55" s="2" t="s">
        <v>2531</v>
      </c>
      <c r="C55" s="3" t="s">
        <v>2532</v>
      </c>
      <c r="D55" s="3" t="s">
        <v>2522</v>
      </c>
      <c r="E55" s="4" t="s">
        <v>2390</v>
      </c>
      <c r="F55" s="3" t="s">
        <v>2526</v>
      </c>
      <c r="G55" s="4">
        <f>COUNTIF(Mapping!$E$2:$E$601,"*["&amp;B55&amp;"*")</f>
        <v>6</v>
      </c>
    </row>
    <row r="56" spans="1:7" ht="36" x14ac:dyDescent="0.25">
      <c r="A56" s="4" t="s">
        <v>2471</v>
      </c>
      <c r="B56" s="2" t="s">
        <v>2533</v>
      </c>
      <c r="C56" s="3" t="s">
        <v>2534</v>
      </c>
      <c r="D56" s="3" t="s">
        <v>2522</v>
      </c>
      <c r="E56" s="4" t="s">
        <v>2390</v>
      </c>
      <c r="F56" s="3" t="s">
        <v>2535</v>
      </c>
      <c r="G56" s="4">
        <f>COUNTIF(Mapping!$E$2:$E$601,"*["&amp;B56&amp;"*")</f>
        <v>6</v>
      </c>
    </row>
    <row r="57" spans="1:7" ht="36" x14ac:dyDescent="0.25">
      <c r="A57" s="4" t="s">
        <v>2471</v>
      </c>
      <c r="B57" s="2" t="s">
        <v>2536</v>
      </c>
      <c r="C57" s="3" t="s">
        <v>2537</v>
      </c>
      <c r="D57" s="3" t="s">
        <v>2522</v>
      </c>
      <c r="E57" s="4" t="s">
        <v>2390</v>
      </c>
      <c r="F57" s="3" t="s">
        <v>2526</v>
      </c>
      <c r="G57" s="4">
        <f>COUNTIF(Mapping!$E$2:$E$601,"*["&amp;B57&amp;"*")</f>
        <v>1</v>
      </c>
    </row>
    <row r="58" spans="1:7" ht="36" x14ac:dyDescent="0.25">
      <c r="A58" s="4" t="s">
        <v>2471</v>
      </c>
      <c r="B58" s="2" t="s">
        <v>2538</v>
      </c>
      <c r="C58" s="3" t="s">
        <v>2539</v>
      </c>
      <c r="D58" s="3" t="s">
        <v>2522</v>
      </c>
      <c r="E58" s="4" t="s">
        <v>2390</v>
      </c>
      <c r="F58" s="3" t="s">
        <v>2540</v>
      </c>
      <c r="G58" s="4">
        <f>COUNTIF(Mapping!$E$2:$E$601,"*["&amp;B58&amp;"*")</f>
        <v>1</v>
      </c>
    </row>
    <row r="59" spans="1:7" ht="36" x14ac:dyDescent="0.25">
      <c r="A59" s="4" t="s">
        <v>2541</v>
      </c>
      <c r="B59" s="2" t="s">
        <v>2542</v>
      </c>
      <c r="C59" s="3" t="s">
        <v>2348</v>
      </c>
      <c r="D59" s="3" t="s">
        <v>2543</v>
      </c>
      <c r="E59" s="4" t="s">
        <v>2385</v>
      </c>
      <c r="F59" s="3" t="s">
        <v>2544</v>
      </c>
      <c r="G59" s="4">
        <f>COUNTIF(Mapping!$E$2:$E$601,"*["&amp;B59&amp;"*")</f>
        <v>1</v>
      </c>
    </row>
    <row r="60" spans="1:7" ht="36" x14ac:dyDescent="0.25">
      <c r="A60" s="4" t="s">
        <v>2541</v>
      </c>
      <c r="B60" s="2" t="s">
        <v>2545</v>
      </c>
      <c r="C60" s="3" t="s">
        <v>2346</v>
      </c>
      <c r="D60" s="3" t="s">
        <v>2543</v>
      </c>
      <c r="E60" s="4" t="s">
        <v>2385</v>
      </c>
      <c r="F60" s="3" t="s">
        <v>2544</v>
      </c>
      <c r="G60" s="4">
        <f>COUNTIF(Mapping!$E$2:$E$601,"*["&amp;B60&amp;"*")</f>
        <v>5</v>
      </c>
    </row>
    <row r="61" spans="1:7" ht="36" x14ac:dyDescent="0.25">
      <c r="A61" s="4" t="s">
        <v>2541</v>
      </c>
      <c r="B61" s="2" t="s">
        <v>2546</v>
      </c>
      <c r="C61" s="3" t="s">
        <v>2347</v>
      </c>
      <c r="D61" s="3" t="s">
        <v>2543</v>
      </c>
      <c r="E61" s="4" t="s">
        <v>2385</v>
      </c>
      <c r="F61" s="3" t="s">
        <v>2544</v>
      </c>
      <c r="G61" s="4">
        <f>COUNTIF(Mapping!$E$2:$E$601,"*["&amp;B61&amp;"*")</f>
        <v>7</v>
      </c>
    </row>
    <row r="62" spans="1:7" ht="36" x14ac:dyDescent="0.25">
      <c r="A62" s="4" t="s">
        <v>2541</v>
      </c>
      <c r="B62" s="2" t="s">
        <v>2547</v>
      </c>
      <c r="C62" s="3" t="s">
        <v>2349</v>
      </c>
      <c r="D62" s="3" t="s">
        <v>2543</v>
      </c>
      <c r="E62" s="4" t="s">
        <v>2385</v>
      </c>
      <c r="F62" s="3" t="s">
        <v>2544</v>
      </c>
      <c r="G62" s="4">
        <f>COUNTIF(Mapping!$E$2:$E$601,"*["&amp;B62&amp;"*")</f>
        <v>1</v>
      </c>
    </row>
    <row r="63" spans="1:7" ht="36" x14ac:dyDescent="0.25">
      <c r="A63" s="4" t="s">
        <v>2541</v>
      </c>
      <c r="B63" s="2" t="s">
        <v>2548</v>
      </c>
      <c r="C63" s="3" t="s">
        <v>2350</v>
      </c>
      <c r="D63" s="3" t="s">
        <v>2543</v>
      </c>
      <c r="E63" s="4" t="s">
        <v>2385</v>
      </c>
      <c r="F63" s="3" t="s">
        <v>2544</v>
      </c>
      <c r="G63" s="4">
        <f>COUNTIF(Mapping!$E$2:$E$601,"*["&amp;B63&amp;"*")</f>
        <v>2</v>
      </c>
    </row>
    <row r="64" spans="1:7" ht="36" x14ac:dyDescent="0.25">
      <c r="A64" s="4" t="s">
        <v>2541</v>
      </c>
      <c r="B64" s="2" t="s">
        <v>2549</v>
      </c>
      <c r="C64" s="3" t="s">
        <v>2351</v>
      </c>
      <c r="D64" s="3" t="s">
        <v>2543</v>
      </c>
      <c r="E64" s="4" t="s">
        <v>2385</v>
      </c>
      <c r="F64" s="3" t="s">
        <v>2544</v>
      </c>
      <c r="G64" s="4">
        <f>COUNTIF(Mapping!$E$2:$E$601,"*["&amp;B64&amp;"*")</f>
        <v>5</v>
      </c>
    </row>
    <row r="65" spans="1:7" ht="36" x14ac:dyDescent="0.25">
      <c r="A65" s="4" t="s">
        <v>2541</v>
      </c>
      <c r="B65" s="2" t="s">
        <v>2550</v>
      </c>
      <c r="C65" s="3" t="s">
        <v>2355</v>
      </c>
      <c r="D65" s="3" t="s">
        <v>2543</v>
      </c>
      <c r="E65" s="4" t="s">
        <v>2385</v>
      </c>
      <c r="F65" s="3" t="s">
        <v>2544</v>
      </c>
      <c r="G65" s="4">
        <f>COUNTIF(Mapping!$E$2:$E$601,"*["&amp;B65&amp;"*")</f>
        <v>18</v>
      </c>
    </row>
    <row r="66" spans="1:7" ht="36" x14ac:dyDescent="0.25">
      <c r="A66" s="4" t="s">
        <v>2541</v>
      </c>
      <c r="B66" s="2" t="s">
        <v>2551</v>
      </c>
      <c r="C66" s="3" t="s">
        <v>2364</v>
      </c>
      <c r="D66" s="3" t="s">
        <v>2543</v>
      </c>
      <c r="E66" s="4" t="s">
        <v>2385</v>
      </c>
      <c r="F66" s="3" t="s">
        <v>2544</v>
      </c>
      <c r="G66" s="4">
        <f>COUNTIF(Mapping!$E$2:$E$601,"*["&amp;B66&amp;"*")</f>
        <v>12</v>
      </c>
    </row>
    <row r="67" spans="1:7" ht="36" x14ac:dyDescent="0.25">
      <c r="A67" s="4" t="s">
        <v>2541</v>
      </c>
      <c r="B67" s="2" t="s">
        <v>2552</v>
      </c>
      <c r="C67" s="3" t="s">
        <v>2365</v>
      </c>
      <c r="D67" s="3" t="s">
        <v>2543</v>
      </c>
      <c r="E67" s="4" t="s">
        <v>2385</v>
      </c>
      <c r="F67" s="3" t="s">
        <v>2544</v>
      </c>
      <c r="G67" s="4">
        <f>COUNTIF(Mapping!$E$2:$E$601,"*["&amp;B67&amp;"*")</f>
        <v>20</v>
      </c>
    </row>
    <row r="68" spans="1:7" ht="36" x14ac:dyDescent="0.25">
      <c r="A68" s="4" t="s">
        <v>2541</v>
      </c>
      <c r="B68" s="2" t="s">
        <v>2553</v>
      </c>
      <c r="C68" s="3" t="s">
        <v>2354</v>
      </c>
      <c r="D68" s="3" t="s">
        <v>2543</v>
      </c>
      <c r="E68" s="4" t="s">
        <v>2385</v>
      </c>
      <c r="F68" s="3" t="s">
        <v>2544</v>
      </c>
      <c r="G68" s="4">
        <f>COUNTIF(Mapping!$E$2:$E$601,"*["&amp;B68&amp;"*")</f>
        <v>8</v>
      </c>
    </row>
    <row r="69" spans="1:7" ht="36" x14ac:dyDescent="0.25">
      <c r="A69" s="4" t="s">
        <v>2541</v>
      </c>
      <c r="B69" s="2" t="s">
        <v>2554</v>
      </c>
      <c r="C69" s="3" t="s">
        <v>2555</v>
      </c>
      <c r="D69" s="3" t="s">
        <v>2556</v>
      </c>
      <c r="E69" s="4" t="s">
        <v>2390</v>
      </c>
      <c r="F69" s="3" t="s">
        <v>2557</v>
      </c>
      <c r="G69" s="4">
        <f>COUNTIF(Mapping!$E$2:$E$601,"*["&amp;B69&amp;"*")</f>
        <v>1</v>
      </c>
    </row>
    <row r="70" spans="1:7" ht="24" x14ac:dyDescent="0.25">
      <c r="A70" s="4" t="s">
        <v>2541</v>
      </c>
      <c r="B70" s="2" t="s">
        <v>2558</v>
      </c>
      <c r="C70" s="3" t="s">
        <v>2371</v>
      </c>
      <c r="D70" s="3" t="s">
        <v>2466</v>
      </c>
      <c r="E70" s="4" t="s">
        <v>2467</v>
      </c>
      <c r="F70" s="3" t="s">
        <v>2559</v>
      </c>
      <c r="G70" s="4">
        <f>COUNTIF(Mapping!$E$2:$E$601,"*["&amp;B70&amp;"*")</f>
        <v>1</v>
      </c>
    </row>
    <row r="71" spans="1:7" ht="36" x14ac:dyDescent="0.25">
      <c r="A71" s="4" t="s">
        <v>2541</v>
      </c>
      <c r="B71" s="2" t="s">
        <v>2560</v>
      </c>
      <c r="C71" s="3" t="s">
        <v>2561</v>
      </c>
      <c r="D71" s="3" t="s">
        <v>2562</v>
      </c>
      <c r="E71" s="4" t="s">
        <v>2390</v>
      </c>
      <c r="F71" s="3" t="s">
        <v>2563</v>
      </c>
      <c r="G71" s="4">
        <f>COUNTIF(Mapping!$E$2:$E$601,"*["&amp;B71&amp;"*")</f>
        <v>5</v>
      </c>
    </row>
    <row r="72" spans="1:7" ht="36" x14ac:dyDescent="0.25">
      <c r="A72" s="4" t="s">
        <v>2541</v>
      </c>
      <c r="B72" s="2" t="s">
        <v>2564</v>
      </c>
      <c r="C72" s="3" t="s">
        <v>2565</v>
      </c>
      <c r="D72" s="3" t="s">
        <v>2562</v>
      </c>
      <c r="E72" s="4" t="s">
        <v>2390</v>
      </c>
      <c r="F72" s="3" t="s">
        <v>2563</v>
      </c>
      <c r="G72" s="4">
        <f>COUNTIF(Mapping!$E$2:$E$601,"*["&amp;B72&amp;"*")</f>
        <v>2</v>
      </c>
    </row>
    <row r="73" spans="1:7" ht="48" x14ac:dyDescent="0.25">
      <c r="A73" s="4" t="s">
        <v>2541</v>
      </c>
      <c r="B73" s="2" t="s">
        <v>2566</v>
      </c>
      <c r="C73" s="3" t="s">
        <v>2567</v>
      </c>
      <c r="D73" s="3" t="s">
        <v>2568</v>
      </c>
      <c r="E73" s="4" t="s">
        <v>2385</v>
      </c>
      <c r="F73" s="3" t="s">
        <v>2569</v>
      </c>
      <c r="G73" s="4">
        <f>COUNTIF(Mapping!$E$2:$E$601,"*["&amp;B73&amp;"*")</f>
        <v>16</v>
      </c>
    </row>
    <row r="74" spans="1:7" ht="36" x14ac:dyDescent="0.25">
      <c r="A74" s="4" t="s">
        <v>2541</v>
      </c>
      <c r="B74" s="2" t="s">
        <v>2570</v>
      </c>
      <c r="C74" s="3" t="s">
        <v>2571</v>
      </c>
      <c r="D74" s="3" t="s">
        <v>2572</v>
      </c>
      <c r="E74" s="4" t="s">
        <v>2390</v>
      </c>
      <c r="F74" s="3" t="s">
        <v>2573</v>
      </c>
      <c r="G74" s="4">
        <f>COUNTIF(Mapping!$E$2:$E$601,"*["&amp;B74&amp;"*")</f>
        <v>29</v>
      </c>
    </row>
    <row r="75" spans="1:7" ht="24" x14ac:dyDescent="0.25">
      <c r="A75" s="4" t="s">
        <v>2541</v>
      </c>
      <c r="B75" s="2" t="s">
        <v>2574</v>
      </c>
      <c r="C75" s="3" t="s">
        <v>2575</v>
      </c>
      <c r="D75" s="3" t="s">
        <v>2576</v>
      </c>
      <c r="E75" s="4" t="s">
        <v>2385</v>
      </c>
      <c r="F75" s="3" t="s">
        <v>2577</v>
      </c>
      <c r="G75" s="4">
        <f>COUNTIF(Mapping!$E$2:$E$601,"*["&amp;B75&amp;"*")</f>
        <v>9</v>
      </c>
    </row>
    <row r="76" spans="1:7" ht="36" x14ac:dyDescent="0.25">
      <c r="A76" s="4" t="s">
        <v>2541</v>
      </c>
      <c r="B76" s="2" t="s">
        <v>2578</v>
      </c>
      <c r="C76" s="3" t="s">
        <v>2579</v>
      </c>
      <c r="D76" s="3" t="s">
        <v>2580</v>
      </c>
      <c r="E76" s="4" t="s">
        <v>2390</v>
      </c>
      <c r="F76" s="3" t="s">
        <v>2581</v>
      </c>
      <c r="G76" s="4">
        <f>COUNTIF(Mapping!$E$2:$E$601,"*["&amp;B76&amp;"*")</f>
        <v>12</v>
      </c>
    </row>
    <row r="77" spans="1:7" ht="24" x14ac:dyDescent="0.25">
      <c r="A77" s="4" t="s">
        <v>2541</v>
      </c>
      <c r="B77" s="2" t="s">
        <v>2582</v>
      </c>
      <c r="C77" s="3" t="s">
        <v>2583</v>
      </c>
      <c r="D77" s="3" t="s">
        <v>2584</v>
      </c>
      <c r="E77" s="4" t="s">
        <v>2385</v>
      </c>
      <c r="F77" s="3" t="s">
        <v>2585</v>
      </c>
      <c r="G77" s="4">
        <f>COUNTIF(Mapping!$E$2:$E$601,"*["&amp;B77&amp;"*")</f>
        <v>1</v>
      </c>
    </row>
    <row r="78" spans="1:7" ht="24" x14ac:dyDescent="0.25">
      <c r="A78" s="4" t="s">
        <v>2541</v>
      </c>
      <c r="B78" s="2" t="s">
        <v>2586</v>
      </c>
      <c r="C78" s="3" t="s">
        <v>2587</v>
      </c>
      <c r="D78" s="3" t="s">
        <v>2584</v>
      </c>
      <c r="E78" s="4" t="s">
        <v>2385</v>
      </c>
      <c r="F78" s="3" t="s">
        <v>2585</v>
      </c>
      <c r="G78" s="4">
        <f>COUNTIF(Mapping!$E$2:$E$601,"*["&amp;B78&amp;"*")</f>
        <v>1</v>
      </c>
    </row>
    <row r="79" spans="1:7" ht="24" x14ac:dyDescent="0.25">
      <c r="A79" s="4" t="s">
        <v>2541</v>
      </c>
      <c r="B79" s="2" t="s">
        <v>2588</v>
      </c>
      <c r="C79" s="3" t="s">
        <v>2589</v>
      </c>
      <c r="D79" s="3" t="s">
        <v>2584</v>
      </c>
      <c r="E79" s="4" t="s">
        <v>2385</v>
      </c>
      <c r="F79" s="3" t="s">
        <v>2585</v>
      </c>
      <c r="G79" s="4">
        <f>COUNTIF(Mapping!$E$2:$E$601,"*["&amp;B79&amp;"*")</f>
        <v>1</v>
      </c>
    </row>
    <row r="80" spans="1:7" ht="36" x14ac:dyDescent="0.25">
      <c r="A80" s="4" t="s">
        <v>2541</v>
      </c>
      <c r="B80" s="2" t="s">
        <v>2590</v>
      </c>
      <c r="C80" s="3" t="s">
        <v>2591</v>
      </c>
      <c r="D80" s="3" t="s">
        <v>2592</v>
      </c>
      <c r="E80" s="4" t="s">
        <v>2385</v>
      </c>
      <c r="F80" s="3" t="s">
        <v>2593</v>
      </c>
      <c r="G80" s="4">
        <f>COUNTIF(Mapping!$E$2:$E$601,"*["&amp;B80&amp;"*")</f>
        <v>7</v>
      </c>
    </row>
    <row r="81" spans="1:7" ht="36" x14ac:dyDescent="0.25">
      <c r="A81" s="4" t="s">
        <v>2541</v>
      </c>
      <c r="B81" s="2" t="s">
        <v>2594</v>
      </c>
      <c r="C81" s="3" t="s">
        <v>2595</v>
      </c>
      <c r="D81" s="3" t="s">
        <v>2592</v>
      </c>
      <c r="E81" s="4" t="s">
        <v>2385</v>
      </c>
      <c r="F81" s="3" t="s">
        <v>2593</v>
      </c>
      <c r="G81" s="4">
        <f>COUNTIF(Mapping!$E$2:$E$601,"*["&amp;B81&amp;"*")</f>
        <v>6</v>
      </c>
    </row>
    <row r="82" spans="1:7" ht="24" x14ac:dyDescent="0.25">
      <c r="A82" s="4" t="s">
        <v>2541</v>
      </c>
      <c r="B82" s="2" t="s">
        <v>2596</v>
      </c>
      <c r="C82" s="3" t="s">
        <v>2597</v>
      </c>
      <c r="D82" s="3" t="s">
        <v>2598</v>
      </c>
      <c r="E82" s="4" t="s">
        <v>2385</v>
      </c>
      <c r="F82" s="3" t="s">
        <v>2599</v>
      </c>
      <c r="G82" s="4">
        <f>COUNTIF(Mapping!$E$2:$E$601,"*["&amp;B82&amp;"*")</f>
        <v>7</v>
      </c>
    </row>
    <row r="83" spans="1:7" ht="36" x14ac:dyDescent="0.25">
      <c r="A83" s="4" t="s">
        <v>2541</v>
      </c>
      <c r="B83" s="2" t="s">
        <v>2600</v>
      </c>
      <c r="C83" s="3" t="s">
        <v>2601</v>
      </c>
      <c r="D83" s="3" t="s">
        <v>2602</v>
      </c>
      <c r="E83" s="4" t="s">
        <v>2390</v>
      </c>
      <c r="F83" s="3" t="s">
        <v>2603</v>
      </c>
      <c r="G83" s="4">
        <f>COUNTIF(Mapping!$E$2:$E$601,"*["&amp;B83&amp;"*")</f>
        <v>5</v>
      </c>
    </row>
    <row r="84" spans="1:7" ht="36" x14ac:dyDescent="0.25">
      <c r="A84" s="4" t="s">
        <v>2541</v>
      </c>
      <c r="B84" s="2" t="s">
        <v>2604</v>
      </c>
      <c r="C84" s="3" t="s">
        <v>2605</v>
      </c>
      <c r="D84" s="3" t="s">
        <v>2602</v>
      </c>
      <c r="E84" s="4" t="s">
        <v>2390</v>
      </c>
      <c r="F84" s="3" t="s">
        <v>2606</v>
      </c>
      <c r="G84" s="4">
        <f>COUNTIF(Mapping!$E$2:$E$601,"*["&amp;B84&amp;"*")</f>
        <v>2</v>
      </c>
    </row>
    <row r="85" spans="1:7" x14ac:dyDescent="0.25">
      <c r="A85" s="4" t="s">
        <v>2541</v>
      </c>
      <c r="B85" s="2" t="s">
        <v>2607</v>
      </c>
      <c r="C85" s="3" t="s">
        <v>2608</v>
      </c>
      <c r="D85" s="3" t="s">
        <v>2609</v>
      </c>
      <c r="E85" s="4" t="s">
        <v>2424</v>
      </c>
      <c r="F85" s="3" t="s">
        <v>2610</v>
      </c>
      <c r="G85" s="4">
        <f>COUNTIF(Mapping!$E$2:$E$601,"*["&amp;B85&amp;"*")</f>
        <v>1</v>
      </c>
    </row>
    <row r="86" spans="1:7" x14ac:dyDescent="0.25">
      <c r="A86" s="4" t="s">
        <v>2541</v>
      </c>
      <c r="B86" s="2" t="s">
        <v>2611</v>
      </c>
      <c r="C86" s="3" t="s">
        <v>2612</v>
      </c>
      <c r="D86" s="3" t="s">
        <v>2613</v>
      </c>
      <c r="E86" s="4" t="s">
        <v>2424</v>
      </c>
      <c r="F86" s="3" t="s">
        <v>2614</v>
      </c>
      <c r="G86" s="4">
        <f>COUNTIF(Mapping!$E$2:$E$601,"*["&amp;B86&amp;"*")</f>
        <v>2</v>
      </c>
    </row>
    <row r="87" spans="1:7" ht="36" x14ac:dyDescent="0.25">
      <c r="A87" s="4" t="s">
        <v>2541</v>
      </c>
      <c r="B87" s="2" t="s">
        <v>2615</v>
      </c>
      <c r="C87" s="3" t="s">
        <v>2616</v>
      </c>
      <c r="D87" s="3" t="s">
        <v>2617</v>
      </c>
      <c r="E87" s="4" t="s">
        <v>2385</v>
      </c>
      <c r="F87" s="3" t="s">
        <v>2618</v>
      </c>
      <c r="G87" s="4">
        <f>COUNTIF(Mapping!$E$2:$E$601,"*["&amp;B87&amp;"*")</f>
        <v>9</v>
      </c>
    </row>
    <row r="88" spans="1:7" ht="24" x14ac:dyDescent="0.25">
      <c r="A88" s="4" t="s">
        <v>2541</v>
      </c>
      <c r="B88" s="2" t="s">
        <v>2619</v>
      </c>
      <c r="C88" s="3" t="s">
        <v>2620</v>
      </c>
      <c r="D88" s="3" t="s">
        <v>2621</v>
      </c>
      <c r="E88" s="4" t="s">
        <v>2385</v>
      </c>
      <c r="F88" s="3" t="s">
        <v>2622</v>
      </c>
      <c r="G88" s="4">
        <f>COUNTIF(Mapping!$E$2:$E$601,"*["&amp;B88&amp;"*")</f>
        <v>7</v>
      </c>
    </row>
    <row r="89" spans="1:7" ht="24" x14ac:dyDescent="0.25">
      <c r="A89" s="4" t="s">
        <v>2541</v>
      </c>
      <c r="B89" s="2" t="s">
        <v>2623</v>
      </c>
      <c r="C89" s="3" t="s">
        <v>2624</v>
      </c>
      <c r="D89" s="3" t="s">
        <v>2625</v>
      </c>
      <c r="E89" s="4" t="s">
        <v>2385</v>
      </c>
      <c r="F89" s="3" t="s">
        <v>2622</v>
      </c>
      <c r="G89" s="4">
        <f>COUNTIF(Mapping!$E$2:$E$601,"*["&amp;B89&amp;"*")</f>
        <v>6</v>
      </c>
    </row>
    <row r="90" spans="1:7" ht="24" x14ac:dyDescent="0.25">
      <c r="A90" s="4" t="s">
        <v>2541</v>
      </c>
      <c r="B90" s="2" t="s">
        <v>2626</v>
      </c>
      <c r="C90" s="3" t="s">
        <v>2627</v>
      </c>
      <c r="D90" s="3" t="s">
        <v>2628</v>
      </c>
      <c r="E90" s="4" t="s">
        <v>2385</v>
      </c>
      <c r="F90" s="3" t="s">
        <v>2622</v>
      </c>
      <c r="G90" s="4">
        <f>COUNTIF(Mapping!$E$2:$E$601,"*["&amp;B90&amp;"*")</f>
        <v>3</v>
      </c>
    </row>
    <row r="91" spans="1:7" ht="24" x14ac:dyDescent="0.25">
      <c r="A91" s="4" t="s">
        <v>2541</v>
      </c>
      <c r="B91" s="2" t="s">
        <v>2629</v>
      </c>
      <c r="C91" s="3" t="s">
        <v>2630</v>
      </c>
      <c r="D91" s="3" t="s">
        <v>2631</v>
      </c>
      <c r="E91" s="4" t="s">
        <v>2385</v>
      </c>
      <c r="F91" s="3" t="s">
        <v>2622</v>
      </c>
      <c r="G91" s="4">
        <f>COUNTIF(Mapping!$E$2:$E$601,"*["&amp;B91&amp;"*")</f>
        <v>3</v>
      </c>
    </row>
    <row r="92" spans="1:7" ht="24" x14ac:dyDescent="0.25">
      <c r="A92" s="4" t="s">
        <v>2541</v>
      </c>
      <c r="B92" s="2" t="s">
        <v>2632</v>
      </c>
      <c r="C92" s="3" t="s">
        <v>2633</v>
      </c>
      <c r="D92" s="3" t="s">
        <v>2634</v>
      </c>
      <c r="E92" s="4" t="s">
        <v>2385</v>
      </c>
      <c r="F92" s="3" t="s">
        <v>2622</v>
      </c>
      <c r="G92" s="4">
        <f>COUNTIF(Mapping!$E$2:$E$601,"*["&amp;B92&amp;"*")</f>
        <v>14</v>
      </c>
    </row>
    <row r="93" spans="1:7" ht="24" x14ac:dyDescent="0.25">
      <c r="A93" s="4" t="s">
        <v>2541</v>
      </c>
      <c r="B93" s="2" t="s">
        <v>2635</v>
      </c>
      <c r="C93" s="3" t="s">
        <v>2636</v>
      </c>
      <c r="D93" s="3" t="s">
        <v>2637</v>
      </c>
      <c r="E93" s="4" t="s">
        <v>2385</v>
      </c>
      <c r="F93" s="3" t="s">
        <v>2622</v>
      </c>
      <c r="G93" s="4">
        <f>COUNTIF(Mapping!$E$2:$E$601,"*["&amp;B93&amp;"*")</f>
        <v>14</v>
      </c>
    </row>
    <row r="94" spans="1:7" ht="24" x14ac:dyDescent="0.25">
      <c r="A94" s="4" t="s">
        <v>2541</v>
      </c>
      <c r="B94" s="2" t="s">
        <v>2638</v>
      </c>
      <c r="C94" s="3" t="s">
        <v>2639</v>
      </c>
      <c r="D94" s="3" t="s">
        <v>2640</v>
      </c>
      <c r="E94" s="4" t="s">
        <v>2385</v>
      </c>
      <c r="F94" s="3" t="s">
        <v>2622</v>
      </c>
      <c r="G94" s="4">
        <f>COUNTIF(Mapping!$E$2:$E$601,"*["&amp;B94&amp;"*")</f>
        <v>7</v>
      </c>
    </row>
    <row r="95" spans="1:7" ht="36" x14ac:dyDescent="0.25">
      <c r="A95" s="4" t="s">
        <v>2541</v>
      </c>
      <c r="B95" s="2" t="s">
        <v>2641</v>
      </c>
      <c r="C95" s="3" t="s">
        <v>2642</v>
      </c>
      <c r="D95" s="3" t="s">
        <v>2643</v>
      </c>
      <c r="E95" s="4" t="s">
        <v>2390</v>
      </c>
      <c r="F95" s="3" t="s">
        <v>2622</v>
      </c>
      <c r="G95" s="4">
        <f>COUNTIF(Mapping!$E$2:$E$601,"*["&amp;B95&amp;"*")</f>
        <v>1</v>
      </c>
    </row>
    <row r="96" spans="1:7" ht="60" x14ac:dyDescent="0.25">
      <c r="A96" s="4" t="s">
        <v>2541</v>
      </c>
      <c r="B96" s="2" t="s">
        <v>2644</v>
      </c>
      <c r="C96" s="3" t="s">
        <v>2645</v>
      </c>
      <c r="D96" s="3" t="s">
        <v>2646</v>
      </c>
      <c r="E96" s="4" t="s">
        <v>2385</v>
      </c>
      <c r="F96" s="3" t="s">
        <v>2647</v>
      </c>
      <c r="G96" s="4">
        <f>COUNTIF(Mapping!$E$2:$E$601,"*["&amp;B96&amp;"*")</f>
        <v>29</v>
      </c>
    </row>
    <row r="97" spans="1:7" ht="36" x14ac:dyDescent="0.25">
      <c r="A97" s="4" t="s">
        <v>2541</v>
      </c>
      <c r="B97" s="2" t="s">
        <v>2648</v>
      </c>
      <c r="C97" s="3" t="s">
        <v>2649</v>
      </c>
      <c r="D97" s="3" t="s">
        <v>2650</v>
      </c>
      <c r="E97" s="4" t="s">
        <v>2390</v>
      </c>
      <c r="F97" s="3" t="s">
        <v>2622</v>
      </c>
      <c r="G97" s="4">
        <f>COUNTIF(Mapping!$E$2:$E$601,"*["&amp;B97&amp;"*")</f>
        <v>5</v>
      </c>
    </row>
    <row r="98" spans="1:7" ht="36" x14ac:dyDescent="0.25">
      <c r="A98" s="4" t="s">
        <v>2541</v>
      </c>
      <c r="B98" s="2" t="s">
        <v>2651</v>
      </c>
      <c r="C98" s="3" t="s">
        <v>2652</v>
      </c>
      <c r="D98" s="3" t="s">
        <v>2653</v>
      </c>
      <c r="E98" s="4" t="s">
        <v>2390</v>
      </c>
      <c r="F98" s="3" t="s">
        <v>2654</v>
      </c>
      <c r="G98" s="4">
        <f>COUNTIF(Mapping!$E$2:$E$601,"*["&amp;B98&amp;"*")</f>
        <v>1</v>
      </c>
    </row>
    <row r="99" spans="1:7" ht="24" x14ac:dyDescent="0.25">
      <c r="A99" s="4" t="s">
        <v>2541</v>
      </c>
      <c r="B99" s="2" t="s">
        <v>2655</v>
      </c>
      <c r="C99" s="3" t="s">
        <v>2656</v>
      </c>
      <c r="D99" s="3" t="s">
        <v>2466</v>
      </c>
      <c r="E99" s="4" t="s">
        <v>2467</v>
      </c>
      <c r="F99" s="3" t="s">
        <v>2468</v>
      </c>
      <c r="G99" s="4">
        <f>COUNTIF(Mapping!$E$2:$E$601,"*["&amp;B99&amp;"*")</f>
        <v>1</v>
      </c>
    </row>
    <row r="100" spans="1:7" ht="24" x14ac:dyDescent="0.25">
      <c r="A100" s="4" t="s">
        <v>2541</v>
      </c>
      <c r="B100" s="2" t="s">
        <v>2657</v>
      </c>
      <c r="C100" s="3" t="s">
        <v>2658</v>
      </c>
      <c r="D100" s="3" t="s">
        <v>2659</v>
      </c>
      <c r="E100" s="4" t="s">
        <v>2385</v>
      </c>
      <c r="F100" s="3" t="s">
        <v>2660</v>
      </c>
      <c r="G100" s="4">
        <f>COUNTIF(Mapping!$E$2:$E$601,"*["&amp;B100&amp;"*")</f>
        <v>2</v>
      </c>
    </row>
    <row r="101" spans="1:7" ht="36" x14ac:dyDescent="0.25">
      <c r="A101" s="4" t="s">
        <v>2541</v>
      </c>
      <c r="B101" s="2" t="s">
        <v>2661</v>
      </c>
      <c r="C101" s="3" t="s">
        <v>2662</v>
      </c>
      <c r="D101" s="3" t="s">
        <v>2663</v>
      </c>
      <c r="E101" s="4" t="s">
        <v>2390</v>
      </c>
      <c r="F101" s="3" t="s">
        <v>2664</v>
      </c>
      <c r="G101" s="4">
        <f>COUNTIF(Mapping!$E$2:$E$601,"*["&amp;B101&amp;"*")</f>
        <v>5</v>
      </c>
    </row>
    <row r="102" spans="1:7" ht="36" x14ac:dyDescent="0.25">
      <c r="A102" s="4" t="s">
        <v>2541</v>
      </c>
      <c r="B102" s="2" t="s">
        <v>2665</v>
      </c>
      <c r="C102" s="3" t="s">
        <v>2666</v>
      </c>
      <c r="D102" s="3" t="s">
        <v>2663</v>
      </c>
      <c r="E102" s="4" t="s">
        <v>2390</v>
      </c>
      <c r="F102" s="3" t="s">
        <v>2664</v>
      </c>
      <c r="G102" s="4">
        <f>COUNTIF(Mapping!$E$2:$E$601,"*["&amp;B102&amp;"*")</f>
        <v>1</v>
      </c>
    </row>
    <row r="103" spans="1:7" ht="36" x14ac:dyDescent="0.25">
      <c r="A103" s="4" t="s">
        <v>2541</v>
      </c>
      <c r="B103" s="2" t="s">
        <v>2667</v>
      </c>
      <c r="C103" s="3" t="s">
        <v>2668</v>
      </c>
      <c r="D103" s="3" t="s">
        <v>2663</v>
      </c>
      <c r="E103" s="4" t="s">
        <v>2390</v>
      </c>
      <c r="F103" s="3" t="s">
        <v>2664</v>
      </c>
      <c r="G103" s="4">
        <f>COUNTIF(Mapping!$E$2:$E$601,"*["&amp;B103&amp;"*")</f>
        <v>1</v>
      </c>
    </row>
    <row r="104" spans="1:7" ht="24" x14ac:dyDescent="0.25">
      <c r="A104" s="4" t="s">
        <v>2541</v>
      </c>
      <c r="B104" s="2" t="s">
        <v>2669</v>
      </c>
      <c r="C104" s="3" t="s">
        <v>2670</v>
      </c>
      <c r="D104" s="3" t="s">
        <v>2466</v>
      </c>
      <c r="E104" s="4" t="s">
        <v>2467</v>
      </c>
      <c r="F104" s="3" t="s">
        <v>2468</v>
      </c>
      <c r="G104" s="4">
        <f>COUNTIF(Mapping!$E$2:$E$601,"*["&amp;B104&amp;"*")</f>
        <v>1</v>
      </c>
    </row>
    <row r="105" spans="1:7" ht="36" x14ac:dyDescent="0.25">
      <c r="A105" s="4" t="s">
        <v>2541</v>
      </c>
      <c r="B105" s="2" t="s">
        <v>2671</v>
      </c>
      <c r="C105" s="3" t="s">
        <v>2672</v>
      </c>
      <c r="D105" s="3" t="s">
        <v>2673</v>
      </c>
      <c r="E105" s="4" t="s">
        <v>2390</v>
      </c>
      <c r="F105" s="3" t="s">
        <v>2674</v>
      </c>
      <c r="G105" s="4">
        <f>COUNTIF(Mapping!$E$2:$E$601,"*["&amp;B105&amp;"*")</f>
        <v>3</v>
      </c>
    </row>
    <row r="106" spans="1:7" ht="36" x14ac:dyDescent="0.25">
      <c r="A106" s="4" t="s">
        <v>2541</v>
      </c>
      <c r="B106" s="2" t="s">
        <v>2675</v>
      </c>
      <c r="C106" s="3" t="s">
        <v>2676</v>
      </c>
      <c r="D106" s="3" t="s">
        <v>2673</v>
      </c>
      <c r="E106" s="4" t="s">
        <v>2390</v>
      </c>
      <c r="F106" s="3" t="s">
        <v>2674</v>
      </c>
      <c r="G106" s="4">
        <f>COUNTIF(Mapping!$E$2:$E$601,"*["&amp;B106&amp;"*")</f>
        <v>2</v>
      </c>
    </row>
    <row r="107" spans="1:7" ht="36" x14ac:dyDescent="0.25">
      <c r="A107" s="4" t="s">
        <v>2541</v>
      </c>
      <c r="B107" s="2" t="s">
        <v>2677</v>
      </c>
      <c r="C107" s="3" t="s">
        <v>2678</v>
      </c>
      <c r="D107" s="3" t="s">
        <v>2673</v>
      </c>
      <c r="E107" s="4" t="s">
        <v>2390</v>
      </c>
      <c r="F107" s="3" t="s">
        <v>2674</v>
      </c>
      <c r="G107" s="4">
        <f>COUNTIF(Mapping!$E$2:$E$601,"*["&amp;B107&amp;"*")</f>
        <v>7</v>
      </c>
    </row>
    <row r="108" spans="1:7" ht="36" x14ac:dyDescent="0.25">
      <c r="A108" s="4" t="s">
        <v>2541</v>
      </c>
      <c r="B108" s="2" t="s">
        <v>2679</v>
      </c>
      <c r="C108" s="3" t="s">
        <v>2680</v>
      </c>
      <c r="D108" s="3" t="s">
        <v>2673</v>
      </c>
      <c r="E108" s="4" t="s">
        <v>2390</v>
      </c>
      <c r="F108" s="3" t="s">
        <v>2674</v>
      </c>
      <c r="G108" s="4">
        <f>COUNTIF(Mapping!$E$2:$E$601,"*["&amp;B108&amp;"*")</f>
        <v>1</v>
      </c>
    </row>
    <row r="109" spans="1:7" ht="36" x14ac:dyDescent="0.25">
      <c r="A109" s="4" t="s">
        <v>2541</v>
      </c>
      <c r="B109" s="2" t="s">
        <v>2681</v>
      </c>
      <c r="C109" s="3" t="s">
        <v>2682</v>
      </c>
      <c r="D109" s="3" t="s">
        <v>2673</v>
      </c>
      <c r="E109" s="4" t="s">
        <v>2390</v>
      </c>
      <c r="F109" s="3" t="s">
        <v>2674</v>
      </c>
      <c r="G109" s="4">
        <f>COUNTIF(Mapping!$E$2:$E$601,"*["&amp;B109&amp;"*")</f>
        <v>2</v>
      </c>
    </row>
    <row r="110" spans="1:7" ht="36" x14ac:dyDescent="0.25">
      <c r="A110" s="4" t="s">
        <v>2541</v>
      </c>
      <c r="B110" s="2" t="s">
        <v>2683</v>
      </c>
      <c r="C110" s="3" t="s">
        <v>2684</v>
      </c>
      <c r="D110" s="3" t="s">
        <v>2673</v>
      </c>
      <c r="E110" s="4" t="s">
        <v>2390</v>
      </c>
      <c r="F110" s="3" t="s">
        <v>2674</v>
      </c>
      <c r="G110" s="4">
        <f>COUNTIF(Mapping!$E$2:$E$601,"*["&amp;B110&amp;"*")</f>
        <v>2</v>
      </c>
    </row>
    <row r="111" spans="1:7" ht="36" x14ac:dyDescent="0.25">
      <c r="A111" s="4" t="s">
        <v>2541</v>
      </c>
      <c r="B111" s="2" t="s">
        <v>2685</v>
      </c>
      <c r="C111" s="3" t="s">
        <v>2686</v>
      </c>
      <c r="D111" s="3" t="s">
        <v>2687</v>
      </c>
      <c r="E111" s="4" t="s">
        <v>2390</v>
      </c>
      <c r="F111" s="3" t="s">
        <v>2688</v>
      </c>
      <c r="G111" s="4">
        <f>COUNTIF(Mapping!$E$2:$E$601,"*["&amp;B111&amp;"*")</f>
        <v>4</v>
      </c>
    </row>
    <row r="112" spans="1:7" ht="36" x14ac:dyDescent="0.25">
      <c r="A112" s="4" t="s">
        <v>2541</v>
      </c>
      <c r="B112" s="2" t="s">
        <v>2689</v>
      </c>
      <c r="C112" s="3" t="s">
        <v>2690</v>
      </c>
      <c r="D112" s="3" t="s">
        <v>2687</v>
      </c>
      <c r="E112" s="4" t="s">
        <v>2390</v>
      </c>
      <c r="F112" s="3" t="s">
        <v>2688</v>
      </c>
      <c r="G112" s="4">
        <f>COUNTIF(Mapping!$E$2:$E$601,"*["&amp;B112&amp;"*")</f>
        <v>5</v>
      </c>
    </row>
    <row r="113" spans="1:7" ht="24" x14ac:dyDescent="0.25">
      <c r="A113" s="4" t="s">
        <v>2691</v>
      </c>
      <c r="B113" s="2" t="s">
        <v>2692</v>
      </c>
      <c r="C113" s="3" t="s">
        <v>2693</v>
      </c>
      <c r="D113" s="3" t="s">
        <v>2694</v>
      </c>
      <c r="E113" s="4" t="s">
        <v>2424</v>
      </c>
      <c r="F113" s="3" t="s">
        <v>2695</v>
      </c>
      <c r="G113" s="4">
        <f>COUNTIF(Mapping!$E$2:$E$601,"*["&amp;B113&amp;"*")</f>
        <v>28</v>
      </c>
    </row>
    <row r="114" spans="1:7" x14ac:dyDescent="0.25">
      <c r="F114" s="9" t="s">
        <v>2696</v>
      </c>
      <c r="G114" s="9">
        <f>SUM(G5:G113)</f>
        <v>536</v>
      </c>
    </row>
  </sheetData>
  <autoFilter ref="A4:G113" xr:uid="{00000000-0009-0000-0000-000003000000}"/>
  <mergeCells count="1">
    <mergeCell ref="A2:G2"/>
  </mergeCells>
  <conditionalFormatting sqref="E5:E113">
    <cfRule type="expression" dxfId="0" priority="1">
      <formula>$E5="kein Äquivalent"</formula>
    </cfRule>
  </conditionalFormatting>
  <pageMargins left="0.75" right="0.75" top="1" bottom="1" header="0.5" footer="0.5"/>
  <pageSetup paperSize="8" fitToHeight="0" orientation="landscape"/>
  <headerFooter>
    <oddFooter>&amp;C&amp;8 &amp;A – Seite &amp;P von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pageSetUpPr fitToPage="1"/>
  </sheetPr>
  <dimension ref="A1:F140"/>
  <sheetViews>
    <sheetView workbookViewId="0">
      <pane ySplit="4" topLeftCell="A5" activePane="bottomLeft" state="frozen"/>
      <selection pane="bottomLeft"/>
    </sheetView>
  </sheetViews>
  <sheetFormatPr defaultColWidth="9.140625" defaultRowHeight="15" x14ac:dyDescent="0.25"/>
  <cols>
    <col min="1" max="1" width="12" customWidth="1"/>
    <col min="2" max="2" width="46" customWidth="1"/>
    <col min="3" max="3" width="52" customWidth="1"/>
    <col min="4" max="4" width="12" customWidth="1"/>
    <col min="5" max="5" width="100" customWidth="1"/>
    <col min="6" max="6" width="50" customWidth="1"/>
  </cols>
  <sheetData>
    <row r="1" spans="1:6" ht="18" x14ac:dyDescent="0.25">
      <c r="A1" s="5" t="s">
        <v>2697</v>
      </c>
    </row>
    <row r="2" spans="1:6" x14ac:dyDescent="0.25">
      <c r="A2" s="6" t="s">
        <v>2698</v>
      </c>
    </row>
    <row r="4" spans="1:6" ht="36" x14ac:dyDescent="0.25">
      <c r="A4" s="1" t="s">
        <v>2699</v>
      </c>
      <c r="B4" s="1" t="s">
        <v>2700</v>
      </c>
      <c r="C4" s="1" t="s">
        <v>2701</v>
      </c>
      <c r="D4" s="1" t="s">
        <v>2380</v>
      </c>
      <c r="E4" s="1" t="s">
        <v>2702</v>
      </c>
      <c r="F4" s="1" t="s">
        <v>2703</v>
      </c>
    </row>
    <row r="5" spans="1:6" ht="24" x14ac:dyDescent="0.25">
      <c r="A5" s="2" t="s">
        <v>555</v>
      </c>
      <c r="B5" s="3" t="s">
        <v>556</v>
      </c>
      <c r="C5" s="3" t="s">
        <v>224</v>
      </c>
      <c r="D5" s="4">
        <f>COUNTIF(Mapping!$I$2:$I$601,A5)</f>
        <v>29</v>
      </c>
      <c r="E5" s="3" t="s">
        <v>2704</v>
      </c>
      <c r="F5" s="3" t="s">
        <v>2705</v>
      </c>
    </row>
    <row r="6" spans="1:6" x14ac:dyDescent="0.25">
      <c r="A6" s="2" t="s">
        <v>139</v>
      </c>
      <c r="B6" s="3" t="s">
        <v>140</v>
      </c>
      <c r="C6" s="3" t="s">
        <v>132</v>
      </c>
      <c r="D6" s="4">
        <f>COUNTIF(Mapping!$I$2:$I$601,A6)</f>
        <v>21</v>
      </c>
      <c r="E6" s="3" t="s">
        <v>2706</v>
      </c>
      <c r="F6" s="3" t="s">
        <v>2707</v>
      </c>
    </row>
    <row r="7" spans="1:6" ht="24" x14ac:dyDescent="0.25">
      <c r="A7" s="2" t="s">
        <v>1142</v>
      </c>
      <c r="B7" s="3" t="s">
        <v>1144</v>
      </c>
      <c r="C7" s="3" t="s">
        <v>164</v>
      </c>
      <c r="D7" s="4">
        <f>COUNTIF(Mapping!$I$2:$I$601,A7)</f>
        <v>20</v>
      </c>
      <c r="E7" s="3" t="s">
        <v>2708</v>
      </c>
      <c r="F7" s="3" t="s">
        <v>2709</v>
      </c>
    </row>
    <row r="8" spans="1:6" x14ac:dyDescent="0.25">
      <c r="A8" s="2" t="s">
        <v>392</v>
      </c>
      <c r="B8" s="3" t="s">
        <v>395</v>
      </c>
      <c r="C8" s="3" t="s">
        <v>240</v>
      </c>
      <c r="D8" s="4">
        <f>COUNTIF(Mapping!$I$2:$I$601,A8)</f>
        <v>19</v>
      </c>
      <c r="E8" s="3" t="s">
        <v>2710</v>
      </c>
      <c r="F8" s="3" t="s">
        <v>2711</v>
      </c>
    </row>
    <row r="9" spans="1:6" ht="24" x14ac:dyDescent="0.25">
      <c r="A9" s="2" t="s">
        <v>1255</v>
      </c>
      <c r="B9" s="3" t="s">
        <v>1256</v>
      </c>
      <c r="C9" s="3" t="s">
        <v>1257</v>
      </c>
      <c r="D9" s="4">
        <f>COUNTIF(Mapping!$I$2:$I$601,A9)</f>
        <v>18</v>
      </c>
      <c r="E9" s="3" t="s">
        <v>2712</v>
      </c>
      <c r="F9" s="3" t="s">
        <v>2713</v>
      </c>
    </row>
    <row r="10" spans="1:6" ht="24" x14ac:dyDescent="0.25">
      <c r="A10" s="2" t="s">
        <v>1452</v>
      </c>
      <c r="B10" s="3" t="s">
        <v>1453</v>
      </c>
      <c r="C10" s="3" t="s">
        <v>171</v>
      </c>
      <c r="D10" s="4">
        <f>COUNTIF(Mapping!$I$2:$I$601,A10)</f>
        <v>18</v>
      </c>
      <c r="E10" s="3" t="s">
        <v>2714</v>
      </c>
      <c r="F10" s="3" t="s">
        <v>2715</v>
      </c>
    </row>
    <row r="11" spans="1:6" ht="24" x14ac:dyDescent="0.25">
      <c r="A11" s="2" t="s">
        <v>1621</v>
      </c>
      <c r="B11" s="3" t="s">
        <v>1622</v>
      </c>
      <c r="C11" s="3" t="s">
        <v>1257</v>
      </c>
      <c r="D11" s="4">
        <f>COUNTIF(Mapping!$I$2:$I$601,A11)</f>
        <v>15</v>
      </c>
      <c r="E11" s="3" t="s">
        <v>2716</v>
      </c>
      <c r="F11" s="3" t="s">
        <v>2715</v>
      </c>
    </row>
    <row r="12" spans="1:6" x14ac:dyDescent="0.25">
      <c r="A12" s="2" t="s">
        <v>1888</v>
      </c>
      <c r="B12" s="3" t="s">
        <v>1889</v>
      </c>
      <c r="C12" s="3" t="s">
        <v>1890</v>
      </c>
      <c r="D12" s="4">
        <f>COUNTIF(Mapping!$I$2:$I$601,A12)</f>
        <v>15</v>
      </c>
      <c r="E12" s="3" t="s">
        <v>2717</v>
      </c>
      <c r="F12" s="3" t="s">
        <v>2718</v>
      </c>
    </row>
    <row r="13" spans="1:6" ht="24" x14ac:dyDescent="0.25">
      <c r="A13" s="2" t="s">
        <v>1986</v>
      </c>
      <c r="B13" s="3" t="s">
        <v>1987</v>
      </c>
      <c r="C13" s="3" t="s">
        <v>499</v>
      </c>
      <c r="D13" s="4">
        <f>COUNTIF(Mapping!$I$2:$I$601,A13)</f>
        <v>12</v>
      </c>
      <c r="E13" s="3" t="s">
        <v>2719</v>
      </c>
      <c r="F13" s="3" t="s">
        <v>2311</v>
      </c>
    </row>
    <row r="14" spans="1:6" ht="24" x14ac:dyDescent="0.25">
      <c r="A14" s="2" t="s">
        <v>381</v>
      </c>
      <c r="B14" s="3" t="s">
        <v>382</v>
      </c>
      <c r="C14" s="3" t="s">
        <v>274</v>
      </c>
      <c r="D14" s="4">
        <f>COUNTIF(Mapping!$I$2:$I$601,A14)</f>
        <v>11</v>
      </c>
      <c r="E14" s="3" t="s">
        <v>2720</v>
      </c>
      <c r="F14" s="3" t="s">
        <v>2721</v>
      </c>
    </row>
    <row r="15" spans="1:6" ht="24" x14ac:dyDescent="0.25">
      <c r="A15" s="2" t="s">
        <v>1024</v>
      </c>
      <c r="B15" s="3" t="s">
        <v>1025</v>
      </c>
      <c r="C15" s="3" t="s">
        <v>148</v>
      </c>
      <c r="D15" s="4">
        <f>COUNTIF(Mapping!$I$2:$I$601,A15)</f>
        <v>11</v>
      </c>
      <c r="E15" s="3" t="s">
        <v>2722</v>
      </c>
      <c r="F15" s="3" t="s">
        <v>2723</v>
      </c>
    </row>
    <row r="16" spans="1:6" x14ac:dyDescent="0.25">
      <c r="A16" s="2" t="s">
        <v>505</v>
      </c>
      <c r="B16" s="3" t="s">
        <v>508</v>
      </c>
      <c r="C16" s="3" t="s">
        <v>499</v>
      </c>
      <c r="D16" s="4">
        <f>COUNTIF(Mapping!$I$2:$I$601,A16)</f>
        <v>11</v>
      </c>
      <c r="E16" s="3" t="s">
        <v>2724</v>
      </c>
      <c r="F16" s="3" t="s">
        <v>2311</v>
      </c>
    </row>
    <row r="17" spans="1:6" ht="36" x14ac:dyDescent="0.25">
      <c r="A17" s="2" t="s">
        <v>280</v>
      </c>
      <c r="B17" s="3" t="s">
        <v>281</v>
      </c>
      <c r="C17" s="3" t="s">
        <v>205</v>
      </c>
      <c r="D17" s="4">
        <f>COUNTIF(Mapping!$I$2:$I$601,A17)</f>
        <v>10</v>
      </c>
      <c r="E17" s="3" t="s">
        <v>2725</v>
      </c>
      <c r="F17" s="3" t="s">
        <v>2726</v>
      </c>
    </row>
    <row r="18" spans="1:6" ht="24" x14ac:dyDescent="0.25">
      <c r="A18" s="2" t="s">
        <v>172</v>
      </c>
      <c r="B18" s="3" t="s">
        <v>173</v>
      </c>
      <c r="C18" s="3" t="s">
        <v>174</v>
      </c>
      <c r="D18" s="4">
        <f>COUNTIF(Mapping!$I$2:$I$601,A18)</f>
        <v>9</v>
      </c>
      <c r="E18" s="3" t="s">
        <v>2727</v>
      </c>
      <c r="F18" s="3" t="s">
        <v>2715</v>
      </c>
    </row>
    <row r="19" spans="1:6" ht="36" x14ac:dyDescent="0.25">
      <c r="A19" s="2" t="s">
        <v>1340</v>
      </c>
      <c r="B19" s="3" t="s">
        <v>1341</v>
      </c>
      <c r="C19" s="3" t="s">
        <v>1316</v>
      </c>
      <c r="D19" s="4">
        <f>COUNTIF(Mapping!$I$2:$I$601,A19)</f>
        <v>9</v>
      </c>
      <c r="E19" s="3" t="s">
        <v>2728</v>
      </c>
      <c r="F19" s="3" t="s">
        <v>2729</v>
      </c>
    </row>
    <row r="20" spans="1:6" ht="24" x14ac:dyDescent="0.25">
      <c r="A20" s="2" t="s">
        <v>1215</v>
      </c>
      <c r="B20" s="3" t="s">
        <v>1219</v>
      </c>
      <c r="C20" s="3" t="s">
        <v>1218</v>
      </c>
      <c r="D20" s="4">
        <f>COUNTIF(Mapping!$I$2:$I$601,A20)</f>
        <v>9</v>
      </c>
      <c r="E20" s="3" t="s">
        <v>2730</v>
      </c>
      <c r="F20" s="3" t="s">
        <v>2709</v>
      </c>
    </row>
    <row r="21" spans="1:6" ht="24" x14ac:dyDescent="0.25">
      <c r="A21" s="2" t="s">
        <v>215</v>
      </c>
      <c r="B21" s="3" t="s">
        <v>232</v>
      </c>
      <c r="C21" s="3" t="s">
        <v>205</v>
      </c>
      <c r="D21" s="4">
        <f>COUNTIF(Mapping!$I$2:$I$601,A21)</f>
        <v>8</v>
      </c>
      <c r="E21" s="3" t="s">
        <v>2731</v>
      </c>
      <c r="F21" s="3" t="s">
        <v>2732</v>
      </c>
    </row>
    <row r="22" spans="1:6" ht="24" x14ac:dyDescent="0.25">
      <c r="A22" s="2" t="s">
        <v>1392</v>
      </c>
      <c r="B22" s="3" t="s">
        <v>1398</v>
      </c>
      <c r="C22" s="3" t="s">
        <v>1239</v>
      </c>
      <c r="D22" s="4">
        <f>COUNTIF(Mapping!$I$2:$I$601,A22)</f>
        <v>8</v>
      </c>
      <c r="E22" s="3" t="s">
        <v>2733</v>
      </c>
      <c r="F22" s="3" t="s">
        <v>2734</v>
      </c>
    </row>
    <row r="23" spans="1:6" ht="24" x14ac:dyDescent="0.25">
      <c r="A23" s="2" t="s">
        <v>1626</v>
      </c>
      <c r="B23" s="3" t="s">
        <v>1627</v>
      </c>
      <c r="C23" s="3" t="s">
        <v>594</v>
      </c>
      <c r="D23" s="4">
        <f>COUNTIF(Mapping!$I$2:$I$601,A23)</f>
        <v>8</v>
      </c>
      <c r="E23" s="3" t="s">
        <v>2735</v>
      </c>
      <c r="F23" s="3" t="s">
        <v>2715</v>
      </c>
    </row>
    <row r="24" spans="1:6" x14ac:dyDescent="0.25">
      <c r="A24" s="2" t="s">
        <v>322</v>
      </c>
      <c r="B24" s="3" t="s">
        <v>323</v>
      </c>
      <c r="C24" s="3" t="s">
        <v>205</v>
      </c>
      <c r="D24" s="4">
        <f>COUNTIF(Mapping!$I$2:$I$601,A24)</f>
        <v>6</v>
      </c>
      <c r="E24" s="3" t="s">
        <v>2736</v>
      </c>
      <c r="F24" s="3" t="s">
        <v>2737</v>
      </c>
    </row>
    <row r="25" spans="1:6" ht="24" x14ac:dyDescent="0.25">
      <c r="A25" s="2" t="s">
        <v>1369</v>
      </c>
      <c r="B25" s="3" t="s">
        <v>1373</v>
      </c>
      <c r="C25" s="3" t="s">
        <v>1372</v>
      </c>
      <c r="D25" s="4">
        <f>COUNTIF(Mapping!$I$2:$I$601,A25)</f>
        <v>6</v>
      </c>
      <c r="E25" s="3" t="s">
        <v>2738</v>
      </c>
      <c r="F25" s="3" t="s">
        <v>2734</v>
      </c>
    </row>
    <row r="26" spans="1:6" ht="24" x14ac:dyDescent="0.25">
      <c r="A26" s="2" t="s">
        <v>592</v>
      </c>
      <c r="B26" s="3" t="s">
        <v>1673</v>
      </c>
      <c r="C26" s="3" t="s">
        <v>594</v>
      </c>
      <c r="D26" s="4">
        <f>COUNTIF(Mapping!$I$2:$I$601,A26)</f>
        <v>6</v>
      </c>
      <c r="E26" s="3" t="s">
        <v>2739</v>
      </c>
      <c r="F26" s="3" t="s">
        <v>2715</v>
      </c>
    </row>
    <row r="27" spans="1:6" x14ac:dyDescent="0.25">
      <c r="A27" s="2" t="s">
        <v>779</v>
      </c>
      <c r="B27" s="3" t="s">
        <v>1852</v>
      </c>
      <c r="C27" s="3" t="s">
        <v>781</v>
      </c>
      <c r="D27" s="4">
        <f>COUNTIF(Mapping!$I$2:$I$601,A27)</f>
        <v>6</v>
      </c>
      <c r="E27" s="3" t="s">
        <v>2740</v>
      </c>
      <c r="F27" s="3" t="s">
        <v>2741</v>
      </c>
    </row>
    <row r="28" spans="1:6" x14ac:dyDescent="0.25">
      <c r="A28" s="2" t="s">
        <v>267</v>
      </c>
      <c r="B28" s="3" t="s">
        <v>268</v>
      </c>
      <c r="C28" s="3" t="s">
        <v>205</v>
      </c>
      <c r="D28" s="4">
        <f>COUNTIF(Mapping!$I$2:$I$601,A28)</f>
        <v>5</v>
      </c>
      <c r="E28" s="3" t="s">
        <v>2742</v>
      </c>
      <c r="F28" s="3" t="s">
        <v>2726</v>
      </c>
    </row>
    <row r="29" spans="1:6" ht="24" x14ac:dyDescent="0.25">
      <c r="A29" s="2" t="s">
        <v>91</v>
      </c>
      <c r="B29" s="3" t="s">
        <v>95</v>
      </c>
      <c r="C29" s="3" t="s">
        <v>94</v>
      </c>
      <c r="D29" s="4">
        <f>COUNTIF(Mapping!$I$2:$I$601,A29)</f>
        <v>5</v>
      </c>
      <c r="E29" s="3" t="s">
        <v>2743</v>
      </c>
      <c r="F29" s="3" t="s">
        <v>2744</v>
      </c>
    </row>
    <row r="30" spans="1:6" ht="24" x14ac:dyDescent="0.25">
      <c r="A30" s="2" t="s">
        <v>275</v>
      </c>
      <c r="B30" s="3" t="s">
        <v>276</v>
      </c>
      <c r="C30" s="3" t="s">
        <v>274</v>
      </c>
      <c r="D30" s="4">
        <f>COUNTIF(Mapping!$I$2:$I$601,A30)</f>
        <v>5</v>
      </c>
      <c r="E30" s="3" t="s">
        <v>2745</v>
      </c>
      <c r="F30" s="3" t="s">
        <v>2726</v>
      </c>
    </row>
    <row r="31" spans="1:6" x14ac:dyDescent="0.25">
      <c r="A31" s="2" t="s">
        <v>443</v>
      </c>
      <c r="B31" s="3" t="s">
        <v>446</v>
      </c>
      <c r="C31" s="3" t="s">
        <v>240</v>
      </c>
      <c r="D31" s="4">
        <f>COUNTIF(Mapping!$I$2:$I$601,A31)</f>
        <v>4</v>
      </c>
      <c r="E31" s="3" t="s">
        <v>2746</v>
      </c>
      <c r="F31" s="3" t="s">
        <v>2711</v>
      </c>
    </row>
    <row r="32" spans="1:6" ht="24" x14ac:dyDescent="0.25">
      <c r="A32" s="2" t="s">
        <v>327</v>
      </c>
      <c r="B32" s="3" t="s">
        <v>337</v>
      </c>
      <c r="C32" s="3" t="s">
        <v>205</v>
      </c>
      <c r="D32" s="4">
        <f>COUNTIF(Mapping!$I$2:$I$601,A32)</f>
        <v>4</v>
      </c>
      <c r="E32" s="3" t="s">
        <v>2747</v>
      </c>
      <c r="F32" s="3" t="s">
        <v>2737</v>
      </c>
    </row>
    <row r="33" spans="1:6" ht="24" x14ac:dyDescent="0.25">
      <c r="A33" s="2" t="s">
        <v>106</v>
      </c>
      <c r="B33" s="3" t="s">
        <v>107</v>
      </c>
      <c r="C33" s="3" t="s">
        <v>94</v>
      </c>
      <c r="D33" s="4">
        <f>COUNTIF(Mapping!$I$2:$I$601,A33)</f>
        <v>4</v>
      </c>
      <c r="E33" s="3" t="s">
        <v>2748</v>
      </c>
      <c r="F33" s="3" t="s">
        <v>2749</v>
      </c>
    </row>
    <row r="34" spans="1:6" ht="24" x14ac:dyDescent="0.25">
      <c r="A34" s="2" t="s">
        <v>629</v>
      </c>
      <c r="B34" s="3" t="s">
        <v>630</v>
      </c>
      <c r="C34" s="3" t="s">
        <v>631</v>
      </c>
      <c r="D34" s="4">
        <f>COUNTIF(Mapping!$I$2:$I$601,A34)</f>
        <v>4</v>
      </c>
      <c r="E34" s="3" t="s">
        <v>2750</v>
      </c>
      <c r="F34" s="3" t="s">
        <v>2751</v>
      </c>
    </row>
    <row r="35" spans="1:6" ht="24" x14ac:dyDescent="0.25">
      <c r="A35" s="2" t="s">
        <v>1653</v>
      </c>
      <c r="B35" s="3" t="s">
        <v>1654</v>
      </c>
      <c r="C35" s="3" t="s">
        <v>138</v>
      </c>
      <c r="D35" s="4">
        <f>COUNTIF(Mapping!$I$2:$I$601,A35)</f>
        <v>4</v>
      </c>
      <c r="E35" s="3" t="s">
        <v>2752</v>
      </c>
      <c r="F35" s="3" t="s">
        <v>2715</v>
      </c>
    </row>
    <row r="36" spans="1:6" ht="24" x14ac:dyDescent="0.25">
      <c r="A36" s="2" t="s">
        <v>1677</v>
      </c>
      <c r="B36" s="3" t="s">
        <v>1797</v>
      </c>
      <c r="C36" s="3" t="s">
        <v>171</v>
      </c>
      <c r="D36" s="4">
        <f>COUNTIF(Mapping!$I$2:$I$601,A36)</f>
        <v>4</v>
      </c>
      <c r="E36" s="3" t="s">
        <v>2753</v>
      </c>
      <c r="F36" s="3" t="s">
        <v>2715</v>
      </c>
    </row>
    <row r="37" spans="1:6" ht="24" x14ac:dyDescent="0.25">
      <c r="A37" s="2" t="s">
        <v>1545</v>
      </c>
      <c r="B37" s="3" t="s">
        <v>1548</v>
      </c>
      <c r="C37" s="3" t="s">
        <v>138</v>
      </c>
      <c r="D37" s="4">
        <f>COUNTIF(Mapping!$I$2:$I$601,A37)</f>
        <v>4</v>
      </c>
      <c r="E37" s="3" t="s">
        <v>2754</v>
      </c>
      <c r="F37" s="3" t="s">
        <v>2715</v>
      </c>
    </row>
    <row r="38" spans="1:6" x14ac:dyDescent="0.25">
      <c r="A38" s="2" t="s">
        <v>350</v>
      </c>
      <c r="B38" s="3" t="s">
        <v>351</v>
      </c>
      <c r="C38" s="3" t="s">
        <v>260</v>
      </c>
      <c r="D38" s="4">
        <f>COUNTIF(Mapping!$I$2:$I$601,A38)</f>
        <v>3</v>
      </c>
      <c r="E38" s="3"/>
      <c r="F38" s="3" t="s">
        <v>2737</v>
      </c>
    </row>
    <row r="39" spans="1:6" ht="24" x14ac:dyDescent="0.25">
      <c r="A39" s="2" t="s">
        <v>55</v>
      </c>
      <c r="B39" s="3" t="s">
        <v>56</v>
      </c>
      <c r="C39" s="3" t="s">
        <v>19</v>
      </c>
      <c r="D39" s="4">
        <f>COUNTIF(Mapping!$I$2:$I$601,A39)</f>
        <v>3</v>
      </c>
      <c r="E39" s="3" t="s">
        <v>2755</v>
      </c>
      <c r="F39" s="3" t="s">
        <v>2756</v>
      </c>
    </row>
    <row r="40" spans="1:6" ht="24" x14ac:dyDescent="0.25">
      <c r="A40" s="2" t="s">
        <v>2113</v>
      </c>
      <c r="B40" s="3" t="s">
        <v>2114</v>
      </c>
      <c r="C40" s="3" t="s">
        <v>274</v>
      </c>
      <c r="D40" s="4">
        <f>COUNTIF(Mapping!$I$2:$I$601,A40)</f>
        <v>3</v>
      </c>
      <c r="E40" s="3" t="s">
        <v>2757</v>
      </c>
      <c r="F40" s="3" t="s">
        <v>2758</v>
      </c>
    </row>
    <row r="41" spans="1:6" ht="24" x14ac:dyDescent="0.25">
      <c r="A41" s="2" t="s">
        <v>222</v>
      </c>
      <c r="B41" s="3" t="s">
        <v>608</v>
      </c>
      <c r="C41" s="3" t="s">
        <v>224</v>
      </c>
      <c r="D41" s="4">
        <f>COUNTIF(Mapping!$I$2:$I$601,A41)</f>
        <v>3</v>
      </c>
      <c r="E41" s="3" t="s">
        <v>2759</v>
      </c>
      <c r="F41" s="3" t="s">
        <v>2705</v>
      </c>
    </row>
    <row r="42" spans="1:6" x14ac:dyDescent="0.25">
      <c r="A42" s="2" t="s">
        <v>487</v>
      </c>
      <c r="B42" s="3" t="s">
        <v>488</v>
      </c>
      <c r="C42" s="3" t="s">
        <v>471</v>
      </c>
      <c r="D42" s="4">
        <f>COUNTIF(Mapping!$I$2:$I$601,A42)</f>
        <v>3</v>
      </c>
      <c r="E42" s="3" t="s">
        <v>2760</v>
      </c>
      <c r="F42" s="3" t="s">
        <v>2761</v>
      </c>
    </row>
    <row r="43" spans="1:6" ht="36" x14ac:dyDescent="0.25">
      <c r="A43" s="2" t="s">
        <v>1314</v>
      </c>
      <c r="B43" s="3" t="s">
        <v>1315</v>
      </c>
      <c r="C43" s="3" t="s">
        <v>1316</v>
      </c>
      <c r="D43" s="4">
        <f>COUNTIF(Mapping!$I$2:$I$601,A43)</f>
        <v>3</v>
      </c>
      <c r="E43" s="3" t="s">
        <v>2762</v>
      </c>
      <c r="F43" s="3" t="s">
        <v>2729</v>
      </c>
    </row>
    <row r="44" spans="1:6" ht="24" x14ac:dyDescent="0.25">
      <c r="A44" s="2" t="s">
        <v>1296</v>
      </c>
      <c r="B44" s="3" t="s">
        <v>1297</v>
      </c>
      <c r="C44" s="3" t="s">
        <v>594</v>
      </c>
      <c r="D44" s="4">
        <f>COUNTIF(Mapping!$I$2:$I$601,A44)</f>
        <v>3</v>
      </c>
      <c r="E44" s="3" t="s">
        <v>2763</v>
      </c>
      <c r="F44" s="3" t="s">
        <v>2713</v>
      </c>
    </row>
    <row r="45" spans="1:6" ht="24" x14ac:dyDescent="0.25">
      <c r="A45" s="2" t="s">
        <v>1824</v>
      </c>
      <c r="B45" s="3" t="s">
        <v>1826</v>
      </c>
      <c r="C45" s="3" t="s">
        <v>138</v>
      </c>
      <c r="D45" s="4">
        <f>COUNTIF(Mapping!$I$2:$I$601,A45)</f>
        <v>3</v>
      </c>
      <c r="E45" s="3"/>
      <c r="F45" s="3" t="s">
        <v>2715</v>
      </c>
    </row>
    <row r="46" spans="1:6" x14ac:dyDescent="0.25">
      <c r="A46" s="2" t="s">
        <v>2026</v>
      </c>
      <c r="B46" s="3" t="s">
        <v>2027</v>
      </c>
      <c r="C46" s="3" t="s">
        <v>499</v>
      </c>
      <c r="D46" s="4">
        <f>COUNTIF(Mapping!$I$2:$I$601,A46)</f>
        <v>3</v>
      </c>
      <c r="E46" s="3" t="s">
        <v>2764</v>
      </c>
      <c r="F46" s="3" t="s">
        <v>2311</v>
      </c>
    </row>
    <row r="47" spans="1:6" x14ac:dyDescent="0.25">
      <c r="A47" s="2" t="s">
        <v>225</v>
      </c>
      <c r="B47" s="3" t="s">
        <v>226</v>
      </c>
      <c r="C47" s="3" t="s">
        <v>205</v>
      </c>
      <c r="D47" s="4">
        <f>COUNTIF(Mapping!$I$2:$I$601,A47)</f>
        <v>2</v>
      </c>
      <c r="E47" s="3"/>
      <c r="F47" s="3" t="s">
        <v>2732</v>
      </c>
    </row>
    <row r="48" spans="1:6" x14ac:dyDescent="0.25">
      <c r="A48" s="2" t="s">
        <v>329</v>
      </c>
      <c r="B48" s="3" t="s">
        <v>330</v>
      </c>
      <c r="C48" s="3" t="s">
        <v>205</v>
      </c>
      <c r="D48" s="4">
        <f>COUNTIF(Mapping!$I$2:$I$601,A48)</f>
        <v>2</v>
      </c>
      <c r="E48" s="3"/>
      <c r="F48" s="3" t="s">
        <v>2737</v>
      </c>
    </row>
    <row r="49" spans="1:6" ht="24" x14ac:dyDescent="0.25">
      <c r="A49" s="2" t="s">
        <v>1591</v>
      </c>
      <c r="B49" s="3" t="s">
        <v>1592</v>
      </c>
      <c r="C49" s="3" t="s">
        <v>274</v>
      </c>
      <c r="D49" s="4">
        <f>COUNTIF(Mapping!$I$2:$I$601,A49)</f>
        <v>2</v>
      </c>
      <c r="E49" s="3"/>
      <c r="F49" s="3" t="s">
        <v>2765</v>
      </c>
    </row>
    <row r="50" spans="1:6" ht="24" x14ac:dyDescent="0.25">
      <c r="A50" s="2" t="s">
        <v>42</v>
      </c>
      <c r="B50" s="3" t="s">
        <v>43</v>
      </c>
      <c r="C50" s="3" t="s">
        <v>19</v>
      </c>
      <c r="D50" s="4">
        <f>COUNTIF(Mapping!$I$2:$I$601,A50)</f>
        <v>2</v>
      </c>
      <c r="E50" s="3" t="s">
        <v>2766</v>
      </c>
      <c r="F50" s="3" t="s">
        <v>2756</v>
      </c>
    </row>
    <row r="51" spans="1:6" ht="24" x14ac:dyDescent="0.25">
      <c r="A51" s="2" t="s">
        <v>69</v>
      </c>
      <c r="B51" s="3" t="s">
        <v>70</v>
      </c>
      <c r="C51" s="3" t="s">
        <v>19</v>
      </c>
      <c r="D51" s="4">
        <f>COUNTIF(Mapping!$I$2:$I$601,A51)</f>
        <v>2</v>
      </c>
      <c r="E51" s="3" t="s">
        <v>2767</v>
      </c>
      <c r="F51" s="3" t="s">
        <v>2768</v>
      </c>
    </row>
    <row r="52" spans="1:6" ht="24" x14ac:dyDescent="0.25">
      <c r="A52" s="2" t="s">
        <v>2094</v>
      </c>
      <c r="B52" s="3" t="s">
        <v>2095</v>
      </c>
      <c r="C52" s="3" t="s">
        <v>274</v>
      </c>
      <c r="D52" s="4">
        <f>COUNTIF(Mapping!$I$2:$I$601,A52)</f>
        <v>2</v>
      </c>
      <c r="E52" s="3"/>
      <c r="F52" s="3" t="s">
        <v>2758</v>
      </c>
    </row>
    <row r="53" spans="1:6" x14ac:dyDescent="0.25">
      <c r="A53" s="2" t="s">
        <v>366</v>
      </c>
      <c r="B53" s="3" t="s">
        <v>367</v>
      </c>
      <c r="C53" s="3" t="s">
        <v>368</v>
      </c>
      <c r="D53" s="4">
        <f>COUNTIF(Mapping!$I$2:$I$601,A53)</f>
        <v>2</v>
      </c>
      <c r="E53" s="3"/>
      <c r="F53" s="3" t="s">
        <v>2758</v>
      </c>
    </row>
    <row r="54" spans="1:6" ht="24" x14ac:dyDescent="0.25">
      <c r="A54" s="2" t="s">
        <v>532</v>
      </c>
      <c r="B54" s="3" t="s">
        <v>533</v>
      </c>
      <c r="C54" s="3" t="s">
        <v>224</v>
      </c>
      <c r="D54" s="4">
        <f>COUNTIF(Mapping!$I$2:$I$601,A54)</f>
        <v>2</v>
      </c>
      <c r="E54" s="3" t="s">
        <v>2769</v>
      </c>
      <c r="F54" s="3" t="s">
        <v>2770</v>
      </c>
    </row>
    <row r="55" spans="1:6" ht="24" x14ac:dyDescent="0.25">
      <c r="A55" s="2" t="s">
        <v>876</v>
      </c>
      <c r="B55" s="3" t="s">
        <v>980</v>
      </c>
      <c r="C55" s="3" t="s">
        <v>844</v>
      </c>
      <c r="D55" s="4">
        <f>COUNTIF(Mapping!$I$2:$I$601,A55)</f>
        <v>2</v>
      </c>
      <c r="E55" s="3" t="s">
        <v>2771</v>
      </c>
      <c r="F55" s="3" t="s">
        <v>2772</v>
      </c>
    </row>
    <row r="56" spans="1:6" ht="24" x14ac:dyDescent="0.25">
      <c r="A56" s="2" t="s">
        <v>804</v>
      </c>
      <c r="B56" s="3" t="s">
        <v>805</v>
      </c>
      <c r="C56" s="3" t="s">
        <v>792</v>
      </c>
      <c r="D56" s="4">
        <f>COUNTIF(Mapping!$I$2:$I$601,A56)</f>
        <v>2</v>
      </c>
      <c r="E56" s="3"/>
      <c r="F56" s="3" t="s">
        <v>2772</v>
      </c>
    </row>
    <row r="57" spans="1:6" ht="24" x14ac:dyDescent="0.25">
      <c r="A57" s="2" t="s">
        <v>1051</v>
      </c>
      <c r="B57" s="3" t="s">
        <v>1052</v>
      </c>
      <c r="C57" s="3" t="s">
        <v>148</v>
      </c>
      <c r="D57" s="4">
        <f>COUNTIF(Mapping!$I$2:$I$601,A57)</f>
        <v>2</v>
      </c>
      <c r="E57" s="3"/>
      <c r="F57" s="3" t="s">
        <v>2723</v>
      </c>
    </row>
    <row r="58" spans="1:6" ht="24" x14ac:dyDescent="0.25">
      <c r="A58" s="2" t="s">
        <v>1714</v>
      </c>
      <c r="B58" s="3" t="s">
        <v>1715</v>
      </c>
      <c r="C58" s="3" t="s">
        <v>1536</v>
      </c>
      <c r="D58" s="4">
        <f>COUNTIF(Mapping!$I$2:$I$601,A58)</f>
        <v>2</v>
      </c>
      <c r="E58" s="3"/>
      <c r="F58" s="3" t="s">
        <v>2715</v>
      </c>
    </row>
    <row r="59" spans="1:6" ht="24" x14ac:dyDescent="0.25">
      <c r="A59" s="2" t="s">
        <v>1237</v>
      </c>
      <c r="B59" s="3" t="s">
        <v>1412</v>
      </c>
      <c r="C59" s="3" t="s">
        <v>1239</v>
      </c>
      <c r="D59" s="4">
        <f>COUNTIF(Mapping!$I$2:$I$601,A59)</f>
        <v>2</v>
      </c>
      <c r="E59" s="3"/>
      <c r="F59" s="3" t="s">
        <v>2734</v>
      </c>
    </row>
    <row r="60" spans="1:6" ht="24" x14ac:dyDescent="0.25">
      <c r="A60" s="2" t="s">
        <v>1604</v>
      </c>
      <c r="B60" s="3" t="s">
        <v>1605</v>
      </c>
      <c r="C60" s="3" t="s">
        <v>1363</v>
      </c>
      <c r="D60" s="4">
        <f>COUNTIF(Mapping!$I$2:$I$601,A60)</f>
        <v>2</v>
      </c>
      <c r="E60" s="3"/>
      <c r="F60" s="3" t="s">
        <v>2715</v>
      </c>
    </row>
    <row r="61" spans="1:6" ht="24" x14ac:dyDescent="0.25">
      <c r="A61" s="2" t="s">
        <v>1261</v>
      </c>
      <c r="B61" s="3" t="s">
        <v>1704</v>
      </c>
      <c r="C61" s="3" t="s">
        <v>138</v>
      </c>
      <c r="D61" s="4">
        <f>COUNTIF(Mapping!$I$2:$I$601,A61)</f>
        <v>2</v>
      </c>
      <c r="E61" s="3" t="s">
        <v>2773</v>
      </c>
      <c r="F61" s="3" t="s">
        <v>2715</v>
      </c>
    </row>
    <row r="62" spans="1:6" ht="24" x14ac:dyDescent="0.25">
      <c r="A62" s="2" t="s">
        <v>136</v>
      </c>
      <c r="B62" s="3" t="s">
        <v>1765</v>
      </c>
      <c r="C62" s="3" t="s">
        <v>138</v>
      </c>
      <c r="D62" s="4">
        <f>COUNTIF(Mapping!$I$2:$I$601,A62)</f>
        <v>2</v>
      </c>
      <c r="E62" s="3"/>
      <c r="F62" s="3" t="s">
        <v>2715</v>
      </c>
    </row>
    <row r="63" spans="1:6" ht="24" x14ac:dyDescent="0.25">
      <c r="A63" s="2" t="s">
        <v>1063</v>
      </c>
      <c r="B63" s="3" t="s">
        <v>1064</v>
      </c>
      <c r="C63" s="3" t="s">
        <v>148</v>
      </c>
      <c r="D63" s="4">
        <f>COUNTIF(Mapping!$I$2:$I$601,A63)</f>
        <v>2</v>
      </c>
      <c r="E63" s="3"/>
      <c r="F63" s="3" t="s">
        <v>2723</v>
      </c>
    </row>
    <row r="64" spans="1:6" ht="24" x14ac:dyDescent="0.25">
      <c r="A64" s="2" t="s">
        <v>1836</v>
      </c>
      <c r="B64" s="3" t="s">
        <v>1837</v>
      </c>
      <c r="C64" s="3" t="s">
        <v>1838</v>
      </c>
      <c r="D64" s="4">
        <f>COUNTIF(Mapping!$I$2:$I$601,A64)</f>
        <v>2</v>
      </c>
      <c r="E64" s="3"/>
      <c r="F64" s="3" t="s">
        <v>2774</v>
      </c>
    </row>
    <row r="65" spans="1:6" ht="24" x14ac:dyDescent="0.25">
      <c r="A65" s="2" t="s">
        <v>1957</v>
      </c>
      <c r="B65" s="3" t="s">
        <v>1959</v>
      </c>
      <c r="C65" s="3" t="s">
        <v>1696</v>
      </c>
      <c r="D65" s="4">
        <f>COUNTIF(Mapping!$I$2:$I$601,A65)</f>
        <v>2</v>
      </c>
      <c r="E65" s="3"/>
      <c r="F65" s="3" t="s">
        <v>2775</v>
      </c>
    </row>
    <row r="66" spans="1:6" x14ac:dyDescent="0.25">
      <c r="A66" s="2" t="s">
        <v>1947</v>
      </c>
      <c r="B66" s="3" t="s">
        <v>1950</v>
      </c>
      <c r="C66" s="3" t="s">
        <v>1696</v>
      </c>
      <c r="D66" s="4">
        <f>COUNTIF(Mapping!$I$2:$I$601,A66)</f>
        <v>2</v>
      </c>
      <c r="E66" s="3"/>
      <c r="F66" s="3" t="s">
        <v>2775</v>
      </c>
    </row>
    <row r="67" spans="1:6" x14ac:dyDescent="0.25">
      <c r="A67" s="2" t="s">
        <v>1693</v>
      </c>
      <c r="B67" s="3" t="s">
        <v>1974</v>
      </c>
      <c r="C67" s="3" t="s">
        <v>1696</v>
      </c>
      <c r="D67" s="4">
        <f>COUNTIF(Mapping!$I$2:$I$601,A67)</f>
        <v>2</v>
      </c>
      <c r="E67" s="3"/>
      <c r="F67" s="3" t="s">
        <v>2776</v>
      </c>
    </row>
    <row r="68" spans="1:6" ht="24" x14ac:dyDescent="0.25">
      <c r="A68" s="2" t="s">
        <v>238</v>
      </c>
      <c r="B68" s="3" t="s">
        <v>2124</v>
      </c>
      <c r="C68" s="3" t="s">
        <v>240</v>
      </c>
      <c r="D68" s="4">
        <f>COUNTIF(Mapping!$I$2:$I$601,A68)</f>
        <v>1</v>
      </c>
      <c r="E68" s="3" t="s">
        <v>2777</v>
      </c>
      <c r="F68" s="3" t="s">
        <v>2758</v>
      </c>
    </row>
    <row r="69" spans="1:6" x14ac:dyDescent="0.25">
      <c r="A69" s="2" t="s">
        <v>217</v>
      </c>
      <c r="B69" s="3" t="s">
        <v>218</v>
      </c>
      <c r="C69" s="3" t="s">
        <v>205</v>
      </c>
      <c r="D69" s="4">
        <f>COUNTIF(Mapping!$I$2:$I$601,A69)</f>
        <v>1</v>
      </c>
      <c r="E69" s="3" t="s">
        <v>2777</v>
      </c>
      <c r="F69" s="3" t="s">
        <v>2732</v>
      </c>
    </row>
    <row r="70" spans="1:6" ht="24" x14ac:dyDescent="0.25">
      <c r="A70" s="2" t="s">
        <v>202</v>
      </c>
      <c r="B70" s="3" t="s">
        <v>210</v>
      </c>
      <c r="C70" s="3" t="s">
        <v>205</v>
      </c>
      <c r="D70" s="4">
        <f>COUNTIF(Mapping!$I$2:$I$601,A70)</f>
        <v>1</v>
      </c>
      <c r="E70" s="3" t="s">
        <v>2777</v>
      </c>
      <c r="F70" s="3" t="s">
        <v>2732</v>
      </c>
    </row>
    <row r="71" spans="1:6" x14ac:dyDescent="0.25">
      <c r="A71" s="2" t="s">
        <v>206</v>
      </c>
      <c r="B71" s="3" t="s">
        <v>207</v>
      </c>
      <c r="C71" s="3" t="s">
        <v>205</v>
      </c>
      <c r="D71" s="4">
        <f>COUNTIF(Mapping!$I$2:$I$601,A71)</f>
        <v>1</v>
      </c>
      <c r="E71" s="3" t="s">
        <v>2777</v>
      </c>
      <c r="F71" s="3" t="s">
        <v>2732</v>
      </c>
    </row>
    <row r="72" spans="1:6" x14ac:dyDescent="0.25">
      <c r="A72" s="2" t="s">
        <v>258</v>
      </c>
      <c r="B72" s="3" t="s">
        <v>259</v>
      </c>
      <c r="C72" s="3" t="s">
        <v>260</v>
      </c>
      <c r="D72" s="4">
        <f>COUNTIF(Mapping!$I$2:$I$601,A72)</f>
        <v>1</v>
      </c>
      <c r="E72" s="3" t="s">
        <v>2777</v>
      </c>
      <c r="F72" s="3" t="s">
        <v>2758</v>
      </c>
    </row>
    <row r="73" spans="1:6" x14ac:dyDescent="0.25">
      <c r="A73" s="2" t="s">
        <v>456</v>
      </c>
      <c r="B73" s="3" t="s">
        <v>458</v>
      </c>
      <c r="C73" s="3" t="s">
        <v>260</v>
      </c>
      <c r="D73" s="4">
        <f>COUNTIF(Mapping!$I$2:$I$601,A73)</f>
        <v>1</v>
      </c>
      <c r="E73" s="3" t="s">
        <v>2777</v>
      </c>
      <c r="F73" s="3" t="s">
        <v>2778</v>
      </c>
    </row>
    <row r="74" spans="1:6" x14ac:dyDescent="0.25">
      <c r="A74" s="2" t="s">
        <v>130</v>
      </c>
      <c r="B74" s="3" t="s">
        <v>131</v>
      </c>
      <c r="C74" s="3" t="s">
        <v>132</v>
      </c>
      <c r="D74" s="4">
        <f>COUNTIF(Mapping!$I$2:$I$601,A74)</f>
        <v>1</v>
      </c>
      <c r="E74" s="3" t="s">
        <v>2777</v>
      </c>
      <c r="F74" s="3" t="s">
        <v>2707</v>
      </c>
    </row>
    <row r="75" spans="1:6" ht="24" x14ac:dyDescent="0.25">
      <c r="A75" s="2" t="s">
        <v>122</v>
      </c>
      <c r="B75" s="3" t="s">
        <v>123</v>
      </c>
      <c r="C75" s="3" t="s">
        <v>94</v>
      </c>
      <c r="D75" s="4">
        <f>COUNTIF(Mapping!$I$2:$I$601,A75)</f>
        <v>1</v>
      </c>
      <c r="E75" s="3" t="s">
        <v>2777</v>
      </c>
      <c r="F75" s="3" t="s">
        <v>2779</v>
      </c>
    </row>
    <row r="76" spans="1:6" ht="24" x14ac:dyDescent="0.25">
      <c r="A76" s="2" t="s">
        <v>78</v>
      </c>
      <c r="B76" s="3" t="s">
        <v>80</v>
      </c>
      <c r="C76" s="3" t="s">
        <v>19</v>
      </c>
      <c r="D76" s="4">
        <f>COUNTIF(Mapping!$I$2:$I$601,A76)</f>
        <v>1</v>
      </c>
      <c r="E76" s="3" t="s">
        <v>2777</v>
      </c>
      <c r="F76" s="3" t="s">
        <v>2780</v>
      </c>
    </row>
    <row r="77" spans="1:6" ht="24" x14ac:dyDescent="0.25">
      <c r="A77" s="2" t="s">
        <v>84</v>
      </c>
      <c r="B77" s="3" t="s">
        <v>87</v>
      </c>
      <c r="C77" s="3" t="s">
        <v>19</v>
      </c>
      <c r="D77" s="4">
        <f>COUNTIF(Mapping!$I$2:$I$601,A77)</f>
        <v>1</v>
      </c>
      <c r="E77" s="3" t="s">
        <v>2777</v>
      </c>
      <c r="F77" s="3" t="s">
        <v>2781</v>
      </c>
    </row>
    <row r="78" spans="1:6" x14ac:dyDescent="0.25">
      <c r="A78" s="2" t="s">
        <v>387</v>
      </c>
      <c r="B78" s="3" t="s">
        <v>388</v>
      </c>
      <c r="C78" s="3" t="s">
        <v>365</v>
      </c>
      <c r="D78" s="4">
        <f>COUNTIF(Mapping!$I$2:$I$601,A78)</f>
        <v>1</v>
      </c>
      <c r="E78" s="3" t="s">
        <v>2777</v>
      </c>
      <c r="F78" s="3" t="s">
        <v>2737</v>
      </c>
    </row>
    <row r="79" spans="1:6" ht="24" x14ac:dyDescent="0.25">
      <c r="A79" s="2" t="s">
        <v>21</v>
      </c>
      <c r="B79" s="3" t="s">
        <v>22</v>
      </c>
      <c r="C79" s="3" t="s">
        <v>23</v>
      </c>
      <c r="D79" s="4">
        <f>COUNTIF(Mapping!$I$2:$I$601,A79)</f>
        <v>1</v>
      </c>
      <c r="E79" s="3" t="s">
        <v>2782</v>
      </c>
      <c r="F79" s="3" t="s">
        <v>2783</v>
      </c>
    </row>
    <row r="80" spans="1:6" ht="24" x14ac:dyDescent="0.25">
      <c r="A80" s="2" t="s">
        <v>656</v>
      </c>
      <c r="B80" s="3" t="s">
        <v>657</v>
      </c>
      <c r="C80" s="3" t="s">
        <v>290</v>
      </c>
      <c r="D80" s="4">
        <f>COUNTIF(Mapping!$I$2:$I$601,A80)</f>
        <v>1</v>
      </c>
      <c r="E80" s="3" t="s">
        <v>2777</v>
      </c>
      <c r="F80" s="3" t="s">
        <v>2784</v>
      </c>
    </row>
    <row r="81" spans="1:6" ht="24" x14ac:dyDescent="0.25">
      <c r="A81" s="2" t="s">
        <v>662</v>
      </c>
      <c r="B81" s="3" t="s">
        <v>663</v>
      </c>
      <c r="C81" s="3" t="s">
        <v>290</v>
      </c>
      <c r="D81" s="4">
        <f>COUNTIF(Mapping!$I$2:$I$601,A81)</f>
        <v>1</v>
      </c>
      <c r="E81" s="3" t="s">
        <v>2777</v>
      </c>
      <c r="F81" s="3" t="s">
        <v>2784</v>
      </c>
    </row>
    <row r="82" spans="1:6" ht="48" x14ac:dyDescent="0.25">
      <c r="A82" s="2" t="s">
        <v>677</v>
      </c>
      <c r="B82" s="3" t="s">
        <v>678</v>
      </c>
      <c r="C82" s="3" t="s">
        <v>679</v>
      </c>
      <c r="D82" s="4">
        <f>COUNTIF(Mapping!$I$2:$I$601,A82)</f>
        <v>1</v>
      </c>
      <c r="E82" s="3" t="s">
        <v>2777</v>
      </c>
      <c r="F82" s="3" t="s">
        <v>2784</v>
      </c>
    </row>
    <row r="83" spans="1:6" ht="24" x14ac:dyDescent="0.25">
      <c r="A83" s="2" t="s">
        <v>575</v>
      </c>
      <c r="B83" s="3" t="s">
        <v>749</v>
      </c>
      <c r="C83" s="3" t="s">
        <v>274</v>
      </c>
      <c r="D83" s="4">
        <f>COUNTIF(Mapping!$I$2:$I$601,A83)</f>
        <v>1</v>
      </c>
      <c r="E83" s="3" t="s">
        <v>2777</v>
      </c>
      <c r="F83" s="3" t="s">
        <v>2721</v>
      </c>
    </row>
    <row r="84" spans="1:6" ht="24" x14ac:dyDescent="0.25">
      <c r="A84" s="2" t="s">
        <v>712</v>
      </c>
      <c r="B84" s="3" t="s">
        <v>713</v>
      </c>
      <c r="C84" s="3" t="s">
        <v>274</v>
      </c>
      <c r="D84" s="4">
        <f>COUNTIF(Mapping!$I$2:$I$601,A84)</f>
        <v>1</v>
      </c>
      <c r="E84" s="3" t="s">
        <v>2777</v>
      </c>
      <c r="F84" s="3" t="s">
        <v>2721</v>
      </c>
    </row>
    <row r="85" spans="1:6" ht="24" x14ac:dyDescent="0.25">
      <c r="A85" s="2" t="s">
        <v>721</v>
      </c>
      <c r="B85" s="3" t="s">
        <v>722</v>
      </c>
      <c r="C85" s="3" t="s">
        <v>274</v>
      </c>
      <c r="D85" s="4">
        <f>COUNTIF(Mapping!$I$2:$I$601,A85)</f>
        <v>1</v>
      </c>
      <c r="E85" s="3" t="s">
        <v>2777</v>
      </c>
      <c r="F85" s="3" t="s">
        <v>2721</v>
      </c>
    </row>
    <row r="86" spans="1:6" ht="24" x14ac:dyDescent="0.25">
      <c r="A86" s="2" t="s">
        <v>667</v>
      </c>
      <c r="B86" s="3" t="s">
        <v>668</v>
      </c>
      <c r="C86" s="3" t="s">
        <v>290</v>
      </c>
      <c r="D86" s="4">
        <f>COUNTIF(Mapping!$I$2:$I$601,A86)</f>
        <v>1</v>
      </c>
      <c r="E86" s="3" t="s">
        <v>2777</v>
      </c>
      <c r="F86" s="3" t="s">
        <v>2784</v>
      </c>
    </row>
    <row r="87" spans="1:6" x14ac:dyDescent="0.25">
      <c r="A87" s="2" t="s">
        <v>357</v>
      </c>
      <c r="B87" s="3" t="s">
        <v>358</v>
      </c>
      <c r="C87" s="3" t="s">
        <v>260</v>
      </c>
      <c r="D87" s="4">
        <f>COUNTIF(Mapping!$I$2:$I$601,A87)</f>
        <v>1</v>
      </c>
      <c r="E87" s="3" t="s">
        <v>2777</v>
      </c>
      <c r="F87" s="3" t="s">
        <v>2737</v>
      </c>
    </row>
    <row r="88" spans="1:6" ht="24" x14ac:dyDescent="0.25">
      <c r="A88" s="2" t="s">
        <v>547</v>
      </c>
      <c r="B88" s="3" t="s">
        <v>548</v>
      </c>
      <c r="C88" s="3" t="s">
        <v>224</v>
      </c>
      <c r="D88" s="4">
        <f>COUNTIF(Mapping!$I$2:$I$601,A88)</f>
        <v>1</v>
      </c>
      <c r="E88" s="3" t="s">
        <v>2777</v>
      </c>
      <c r="F88" s="3" t="s">
        <v>2785</v>
      </c>
    </row>
    <row r="89" spans="1:6" ht="24" x14ac:dyDescent="0.25">
      <c r="A89" s="2" t="s">
        <v>540</v>
      </c>
      <c r="B89" s="3" t="s">
        <v>543</v>
      </c>
      <c r="C89" s="3" t="s">
        <v>224</v>
      </c>
      <c r="D89" s="4">
        <f>COUNTIF(Mapping!$I$2:$I$601,A89)</f>
        <v>1</v>
      </c>
      <c r="E89" s="3" t="s">
        <v>2777</v>
      </c>
      <c r="F89" s="3" t="s">
        <v>2785</v>
      </c>
    </row>
    <row r="90" spans="1:6" ht="24" x14ac:dyDescent="0.25">
      <c r="A90" s="2" t="s">
        <v>565</v>
      </c>
      <c r="B90" s="3" t="s">
        <v>2087</v>
      </c>
      <c r="C90" s="3" t="s">
        <v>224</v>
      </c>
      <c r="D90" s="4">
        <f>COUNTIF(Mapping!$I$2:$I$601,A90)</f>
        <v>1</v>
      </c>
      <c r="E90" s="3" t="s">
        <v>2777</v>
      </c>
      <c r="F90" s="3" t="s">
        <v>2758</v>
      </c>
    </row>
    <row r="91" spans="1:6" ht="24" x14ac:dyDescent="0.25">
      <c r="A91" s="2" t="s">
        <v>2101</v>
      </c>
      <c r="B91" s="3" t="s">
        <v>2102</v>
      </c>
      <c r="C91" s="3" t="s">
        <v>224</v>
      </c>
      <c r="D91" s="4">
        <f>COUNTIF(Mapping!$I$2:$I$601,A91)</f>
        <v>1</v>
      </c>
      <c r="E91" s="3" t="s">
        <v>2777</v>
      </c>
      <c r="F91" s="3" t="s">
        <v>2758</v>
      </c>
    </row>
    <row r="92" spans="1:6" x14ac:dyDescent="0.25">
      <c r="A92" s="2" t="s">
        <v>478</v>
      </c>
      <c r="B92" s="3" t="s">
        <v>480</v>
      </c>
      <c r="C92" s="3" t="s">
        <v>471</v>
      </c>
      <c r="D92" s="4">
        <f>COUNTIF(Mapping!$I$2:$I$601,A92)</f>
        <v>1</v>
      </c>
      <c r="E92" s="3" t="s">
        <v>2777</v>
      </c>
      <c r="F92" s="3" t="s">
        <v>2786</v>
      </c>
    </row>
    <row r="93" spans="1:6" x14ac:dyDescent="0.25">
      <c r="A93" s="2" t="s">
        <v>472</v>
      </c>
      <c r="B93" s="3" t="s">
        <v>473</v>
      </c>
      <c r="C93" s="3" t="s">
        <v>474</v>
      </c>
      <c r="D93" s="4">
        <f>COUNTIF(Mapping!$I$2:$I$601,A93)</f>
        <v>1</v>
      </c>
      <c r="E93" s="3" t="s">
        <v>2777</v>
      </c>
      <c r="F93" s="3" t="s">
        <v>2787</v>
      </c>
    </row>
    <row r="94" spans="1:6" x14ac:dyDescent="0.25">
      <c r="A94" s="2" t="s">
        <v>500</v>
      </c>
      <c r="B94" s="3" t="s">
        <v>501</v>
      </c>
      <c r="C94" s="3" t="s">
        <v>474</v>
      </c>
      <c r="D94" s="4">
        <f>COUNTIF(Mapping!$I$2:$I$601,A94)</f>
        <v>1</v>
      </c>
      <c r="E94" s="3" t="s">
        <v>2777</v>
      </c>
      <c r="F94" s="3" t="s">
        <v>2788</v>
      </c>
    </row>
    <row r="95" spans="1:6" ht="24" x14ac:dyDescent="0.25">
      <c r="A95" s="2" t="s">
        <v>2222</v>
      </c>
      <c r="B95" s="3" t="s">
        <v>2223</v>
      </c>
      <c r="C95" s="3" t="s">
        <v>844</v>
      </c>
      <c r="D95" s="4">
        <f>COUNTIF(Mapping!$I$2:$I$601,A95)</f>
        <v>1</v>
      </c>
      <c r="E95" s="3" t="s">
        <v>2777</v>
      </c>
      <c r="F95" s="3" t="s">
        <v>2758</v>
      </c>
    </row>
    <row r="96" spans="1:6" ht="24" x14ac:dyDescent="0.25">
      <c r="A96" s="2" t="s">
        <v>997</v>
      </c>
      <c r="B96" s="3" t="s">
        <v>1000</v>
      </c>
      <c r="C96" s="3" t="s">
        <v>792</v>
      </c>
      <c r="D96" s="4">
        <f>COUNTIF(Mapping!$I$2:$I$601,A96)</f>
        <v>1</v>
      </c>
      <c r="E96" s="3" t="s">
        <v>2777</v>
      </c>
      <c r="F96" s="3" t="s">
        <v>2772</v>
      </c>
    </row>
    <row r="97" spans="1:6" ht="24" x14ac:dyDescent="0.25">
      <c r="A97" s="2" t="s">
        <v>1156</v>
      </c>
      <c r="B97" s="3" t="s">
        <v>1199</v>
      </c>
      <c r="C97" s="3" t="s">
        <v>164</v>
      </c>
      <c r="D97" s="4">
        <f>COUNTIF(Mapping!$I$2:$I$601,A97)</f>
        <v>1</v>
      </c>
      <c r="E97" s="3" t="s">
        <v>2777</v>
      </c>
      <c r="F97" s="3" t="s">
        <v>2709</v>
      </c>
    </row>
    <row r="98" spans="1:6" ht="24" x14ac:dyDescent="0.25">
      <c r="A98" s="2" t="s">
        <v>1109</v>
      </c>
      <c r="B98" s="3" t="s">
        <v>1110</v>
      </c>
      <c r="C98" s="3" t="s">
        <v>164</v>
      </c>
      <c r="D98" s="4">
        <f>COUNTIF(Mapping!$I$2:$I$601,A98)</f>
        <v>1</v>
      </c>
      <c r="E98" s="3" t="s">
        <v>2777</v>
      </c>
      <c r="F98" s="3" t="s">
        <v>2709</v>
      </c>
    </row>
    <row r="99" spans="1:6" ht="24" x14ac:dyDescent="0.25">
      <c r="A99" s="2" t="s">
        <v>1101</v>
      </c>
      <c r="B99" s="3" t="s">
        <v>1103</v>
      </c>
      <c r="C99" s="3" t="s">
        <v>164</v>
      </c>
      <c r="D99" s="4">
        <f>COUNTIF(Mapping!$I$2:$I$601,A99)</f>
        <v>1</v>
      </c>
      <c r="E99" s="3" t="s">
        <v>2777</v>
      </c>
      <c r="F99" s="3" t="s">
        <v>2709</v>
      </c>
    </row>
    <row r="100" spans="1:6" ht="24" x14ac:dyDescent="0.25">
      <c r="A100" s="2" t="s">
        <v>1096</v>
      </c>
      <c r="B100" s="3" t="s">
        <v>1097</v>
      </c>
      <c r="C100" s="3" t="s">
        <v>164</v>
      </c>
      <c r="D100" s="4">
        <f>COUNTIF(Mapping!$I$2:$I$601,A100)</f>
        <v>1</v>
      </c>
      <c r="E100" s="3" t="s">
        <v>2777</v>
      </c>
      <c r="F100" s="3" t="s">
        <v>2709</v>
      </c>
    </row>
    <row r="101" spans="1:6" ht="24" x14ac:dyDescent="0.25">
      <c r="A101" s="2" t="s">
        <v>1125</v>
      </c>
      <c r="B101" s="3" t="s">
        <v>1127</v>
      </c>
      <c r="C101" s="3" t="s">
        <v>148</v>
      </c>
      <c r="D101" s="4">
        <f>COUNTIF(Mapping!$I$2:$I$601,A101)</f>
        <v>1</v>
      </c>
      <c r="E101" s="3" t="s">
        <v>2777</v>
      </c>
      <c r="F101" s="3" t="s">
        <v>2758</v>
      </c>
    </row>
    <row r="102" spans="1:6" x14ac:dyDescent="0.25">
      <c r="A102" s="2" t="s">
        <v>1120</v>
      </c>
      <c r="B102" s="3" t="s">
        <v>1121</v>
      </c>
      <c r="C102" s="3" t="s">
        <v>148</v>
      </c>
      <c r="D102" s="4">
        <f>COUNTIF(Mapping!$I$2:$I$601,A102)</f>
        <v>1</v>
      </c>
      <c r="E102" s="3" t="s">
        <v>2777</v>
      </c>
      <c r="F102" s="3" t="s">
        <v>2758</v>
      </c>
    </row>
    <row r="103" spans="1:6" ht="24" x14ac:dyDescent="0.25">
      <c r="A103" s="2" t="s">
        <v>1137</v>
      </c>
      <c r="B103" s="3" t="s">
        <v>1138</v>
      </c>
      <c r="C103" s="3" t="s">
        <v>164</v>
      </c>
      <c r="D103" s="4">
        <f>COUNTIF(Mapping!$I$2:$I$601,A103)</f>
        <v>1</v>
      </c>
      <c r="E103" s="3" t="s">
        <v>2777</v>
      </c>
      <c r="F103" s="3" t="s">
        <v>2709</v>
      </c>
    </row>
    <row r="104" spans="1:6" ht="24" x14ac:dyDescent="0.25">
      <c r="A104" s="2" t="s">
        <v>1720</v>
      </c>
      <c r="B104" s="3" t="s">
        <v>1721</v>
      </c>
      <c r="C104" s="3" t="s">
        <v>1536</v>
      </c>
      <c r="D104" s="4">
        <f>COUNTIF(Mapping!$I$2:$I$601,A104)</f>
        <v>1</v>
      </c>
      <c r="E104" s="3" t="s">
        <v>2777</v>
      </c>
      <c r="F104" s="3" t="s">
        <v>2715</v>
      </c>
    </row>
    <row r="105" spans="1:6" ht="24" x14ac:dyDescent="0.25">
      <c r="A105" s="2" t="s">
        <v>1731</v>
      </c>
      <c r="B105" s="3" t="s">
        <v>1733</v>
      </c>
      <c r="C105" s="3" t="s">
        <v>1536</v>
      </c>
      <c r="D105" s="4">
        <f>COUNTIF(Mapping!$I$2:$I$601,A105)</f>
        <v>1</v>
      </c>
      <c r="E105" s="3" t="s">
        <v>2777</v>
      </c>
      <c r="F105" s="3" t="s">
        <v>2715</v>
      </c>
    </row>
    <row r="106" spans="1:6" ht="24" x14ac:dyDescent="0.25">
      <c r="A106" s="2" t="s">
        <v>1725</v>
      </c>
      <c r="B106" s="3" t="s">
        <v>1727</v>
      </c>
      <c r="C106" s="3" t="s">
        <v>1536</v>
      </c>
      <c r="D106" s="4">
        <f>COUNTIF(Mapping!$I$2:$I$601,A106)</f>
        <v>1</v>
      </c>
      <c r="E106" s="3" t="s">
        <v>2777</v>
      </c>
      <c r="F106" s="3" t="s">
        <v>2715</v>
      </c>
    </row>
    <row r="107" spans="1:6" ht="24" x14ac:dyDescent="0.25">
      <c r="A107" s="2" t="s">
        <v>1534</v>
      </c>
      <c r="B107" s="3" t="s">
        <v>1535</v>
      </c>
      <c r="C107" s="3" t="s">
        <v>1536</v>
      </c>
      <c r="D107" s="4">
        <f>COUNTIF(Mapping!$I$2:$I$601,A107)</f>
        <v>1</v>
      </c>
      <c r="E107" s="3" t="s">
        <v>2777</v>
      </c>
      <c r="F107" s="3" t="s">
        <v>2715</v>
      </c>
    </row>
    <row r="108" spans="1:6" ht="24" x14ac:dyDescent="0.25">
      <c r="A108" s="2" t="s">
        <v>1737</v>
      </c>
      <c r="B108" s="3" t="s">
        <v>1738</v>
      </c>
      <c r="C108" s="3" t="s">
        <v>1536</v>
      </c>
      <c r="D108" s="4">
        <f>COUNTIF(Mapping!$I$2:$I$601,A108)</f>
        <v>1</v>
      </c>
      <c r="E108" s="3" t="s">
        <v>2777</v>
      </c>
      <c r="F108" s="3" t="s">
        <v>2715</v>
      </c>
    </row>
    <row r="109" spans="1:6" ht="36" x14ac:dyDescent="0.25">
      <c r="A109" s="2" t="s">
        <v>1332</v>
      </c>
      <c r="B109" s="3" t="s">
        <v>1333</v>
      </c>
      <c r="C109" s="3" t="s">
        <v>1334</v>
      </c>
      <c r="D109" s="4">
        <f>COUNTIF(Mapping!$I$2:$I$601,A109)</f>
        <v>1</v>
      </c>
      <c r="E109" s="3" t="s">
        <v>2777</v>
      </c>
      <c r="F109" s="3" t="s">
        <v>2729</v>
      </c>
    </row>
    <row r="110" spans="1:6" ht="24" x14ac:dyDescent="0.25">
      <c r="A110" s="2" t="s">
        <v>1321</v>
      </c>
      <c r="B110" s="3" t="s">
        <v>1322</v>
      </c>
      <c r="C110" s="3" t="s">
        <v>1323</v>
      </c>
      <c r="D110" s="4">
        <f>COUNTIF(Mapping!$I$2:$I$601,A110)</f>
        <v>1</v>
      </c>
      <c r="E110" s="3" t="s">
        <v>2777</v>
      </c>
      <c r="F110" s="3" t="s">
        <v>2729</v>
      </c>
    </row>
    <row r="111" spans="1:6" ht="24" x14ac:dyDescent="0.25">
      <c r="A111" s="2" t="s">
        <v>1381</v>
      </c>
      <c r="B111" s="3" t="s">
        <v>1382</v>
      </c>
      <c r="C111" s="3" t="s">
        <v>1239</v>
      </c>
      <c r="D111" s="4">
        <f>COUNTIF(Mapping!$I$2:$I$601,A111)</f>
        <v>1</v>
      </c>
      <c r="E111" s="3" t="s">
        <v>2777</v>
      </c>
      <c r="F111" s="3" t="s">
        <v>2734</v>
      </c>
    </row>
    <row r="112" spans="1:6" ht="24" x14ac:dyDescent="0.25">
      <c r="A112" s="2" t="s">
        <v>1361</v>
      </c>
      <c r="B112" s="3" t="s">
        <v>1708</v>
      </c>
      <c r="C112" s="3" t="s">
        <v>1363</v>
      </c>
      <c r="D112" s="4">
        <f>COUNTIF(Mapping!$I$2:$I$601,A112)</f>
        <v>1</v>
      </c>
      <c r="E112" s="3" t="s">
        <v>2777</v>
      </c>
      <c r="F112" s="3" t="s">
        <v>2715</v>
      </c>
    </row>
    <row r="113" spans="1:6" ht="24" x14ac:dyDescent="0.25">
      <c r="A113" s="2" t="s">
        <v>1567</v>
      </c>
      <c r="B113" s="3" t="s">
        <v>1568</v>
      </c>
      <c r="C113" s="3" t="s">
        <v>1363</v>
      </c>
      <c r="D113" s="4">
        <f>COUNTIF(Mapping!$I$2:$I$601,A113)</f>
        <v>1</v>
      </c>
      <c r="E113" s="3" t="s">
        <v>2777</v>
      </c>
      <c r="F113" s="3" t="s">
        <v>2715</v>
      </c>
    </row>
    <row r="114" spans="1:6" ht="24" x14ac:dyDescent="0.25">
      <c r="A114" s="2" t="s">
        <v>1058</v>
      </c>
      <c r="B114" s="3" t="s">
        <v>1484</v>
      </c>
      <c r="C114" s="3" t="s">
        <v>171</v>
      </c>
      <c r="D114" s="4">
        <f>COUNTIF(Mapping!$I$2:$I$601,A114)</f>
        <v>1</v>
      </c>
      <c r="E114" s="3" t="s">
        <v>2777</v>
      </c>
      <c r="F114" s="3" t="s">
        <v>2715</v>
      </c>
    </row>
    <row r="115" spans="1:6" ht="24" x14ac:dyDescent="0.25">
      <c r="A115" s="2" t="s">
        <v>1464</v>
      </c>
      <c r="B115" s="3" t="s">
        <v>1466</v>
      </c>
      <c r="C115" s="3" t="s">
        <v>171</v>
      </c>
      <c r="D115" s="4">
        <f>COUNTIF(Mapping!$I$2:$I$601,A115)</f>
        <v>1</v>
      </c>
      <c r="E115" s="3" t="s">
        <v>2777</v>
      </c>
      <c r="F115" s="3" t="s">
        <v>2715</v>
      </c>
    </row>
    <row r="116" spans="1:6" ht="24" x14ac:dyDescent="0.25">
      <c r="A116" s="2" t="s">
        <v>1459</v>
      </c>
      <c r="B116" s="3" t="s">
        <v>1460</v>
      </c>
      <c r="C116" s="3" t="s">
        <v>171</v>
      </c>
      <c r="D116" s="4">
        <f>COUNTIF(Mapping!$I$2:$I$601,A116)</f>
        <v>1</v>
      </c>
      <c r="E116" s="3" t="s">
        <v>2777</v>
      </c>
      <c r="F116" s="3" t="s">
        <v>2715</v>
      </c>
    </row>
    <row r="117" spans="1:6" ht="24" x14ac:dyDescent="0.25">
      <c r="A117" s="2" t="s">
        <v>1249</v>
      </c>
      <c r="B117" s="3" t="s">
        <v>1250</v>
      </c>
      <c r="C117" s="3" t="s">
        <v>1218</v>
      </c>
      <c r="D117" s="4">
        <f>COUNTIF(Mapping!$I$2:$I$601,A117)</f>
        <v>1</v>
      </c>
      <c r="E117" s="3" t="s">
        <v>2777</v>
      </c>
      <c r="F117" s="3" t="s">
        <v>2709</v>
      </c>
    </row>
    <row r="118" spans="1:6" ht="24" x14ac:dyDescent="0.25">
      <c r="A118" s="2" t="s">
        <v>1438</v>
      </c>
      <c r="B118" s="3" t="s">
        <v>1439</v>
      </c>
      <c r="C118" s="3" t="s">
        <v>1424</v>
      </c>
      <c r="D118" s="4">
        <f>COUNTIF(Mapping!$I$2:$I$601,A118)</f>
        <v>1</v>
      </c>
      <c r="E118" s="3" t="s">
        <v>2777</v>
      </c>
      <c r="F118" s="3" t="s">
        <v>2758</v>
      </c>
    </row>
    <row r="119" spans="1:6" ht="24" x14ac:dyDescent="0.25">
      <c r="A119" s="2" t="s">
        <v>1421</v>
      </c>
      <c r="B119" s="3" t="s">
        <v>1434</v>
      </c>
      <c r="C119" s="3" t="s">
        <v>1424</v>
      </c>
      <c r="D119" s="4">
        <f>COUNTIF(Mapping!$I$2:$I$601,A119)</f>
        <v>1</v>
      </c>
      <c r="E119" s="3" t="s">
        <v>2777</v>
      </c>
      <c r="F119" s="3" t="s">
        <v>2789</v>
      </c>
    </row>
    <row r="120" spans="1:6" ht="36" x14ac:dyDescent="0.25">
      <c r="A120" s="2" t="s">
        <v>1425</v>
      </c>
      <c r="B120" s="3" t="s">
        <v>1426</v>
      </c>
      <c r="C120" s="3" t="s">
        <v>1427</v>
      </c>
      <c r="D120" s="4">
        <f>COUNTIF(Mapping!$I$2:$I$601,A120)</f>
        <v>1</v>
      </c>
      <c r="E120" s="3" t="s">
        <v>2777</v>
      </c>
      <c r="F120" s="3" t="s">
        <v>2789</v>
      </c>
    </row>
    <row r="121" spans="1:6" ht="24" x14ac:dyDescent="0.25">
      <c r="A121" s="2" t="s">
        <v>1744</v>
      </c>
      <c r="B121" s="3" t="s">
        <v>1745</v>
      </c>
      <c r="C121" s="3" t="s">
        <v>138</v>
      </c>
      <c r="D121" s="4">
        <f>COUNTIF(Mapping!$I$2:$I$601,A121)</f>
        <v>1</v>
      </c>
      <c r="E121" s="3" t="s">
        <v>2777</v>
      </c>
      <c r="F121" s="3" t="s">
        <v>2715</v>
      </c>
    </row>
    <row r="122" spans="1:6" ht="24" x14ac:dyDescent="0.25">
      <c r="A122" s="2" t="s">
        <v>1488</v>
      </c>
      <c r="B122" s="3" t="s">
        <v>1489</v>
      </c>
      <c r="C122" s="3" t="s">
        <v>171</v>
      </c>
      <c r="D122" s="4">
        <f>COUNTIF(Mapping!$I$2:$I$601,A122)</f>
        <v>1</v>
      </c>
      <c r="E122" s="3" t="s">
        <v>2777</v>
      </c>
      <c r="F122" s="3" t="s">
        <v>2715</v>
      </c>
    </row>
    <row r="123" spans="1:6" ht="24" x14ac:dyDescent="0.25">
      <c r="A123" s="2" t="s">
        <v>1210</v>
      </c>
      <c r="B123" s="3" t="s">
        <v>1518</v>
      </c>
      <c r="C123" s="3" t="s">
        <v>171</v>
      </c>
      <c r="D123" s="4">
        <f>COUNTIF(Mapping!$I$2:$I$601,A123)</f>
        <v>1</v>
      </c>
      <c r="E123" s="3" t="s">
        <v>2777</v>
      </c>
      <c r="F123" s="3" t="s">
        <v>2715</v>
      </c>
    </row>
    <row r="124" spans="1:6" ht="24" x14ac:dyDescent="0.25">
      <c r="A124" s="2" t="s">
        <v>1774</v>
      </c>
      <c r="B124" s="3" t="s">
        <v>1776</v>
      </c>
      <c r="C124" s="3" t="s">
        <v>138</v>
      </c>
      <c r="D124" s="4">
        <f>COUNTIF(Mapping!$I$2:$I$601,A124)</f>
        <v>1</v>
      </c>
      <c r="E124" s="3" t="s">
        <v>2777</v>
      </c>
      <c r="F124" s="3" t="s">
        <v>2715</v>
      </c>
    </row>
    <row r="125" spans="1:6" ht="24" x14ac:dyDescent="0.25">
      <c r="A125" s="2" t="s">
        <v>1668</v>
      </c>
      <c r="B125" s="3" t="s">
        <v>1669</v>
      </c>
      <c r="C125" s="3" t="s">
        <v>171</v>
      </c>
      <c r="D125" s="4">
        <f>COUNTIF(Mapping!$I$2:$I$601,A125)</f>
        <v>1</v>
      </c>
      <c r="E125" s="3" t="s">
        <v>2777</v>
      </c>
      <c r="F125" s="3" t="s">
        <v>2715</v>
      </c>
    </row>
    <row r="126" spans="1:6" ht="24" x14ac:dyDescent="0.25">
      <c r="A126" s="2" t="s">
        <v>1338</v>
      </c>
      <c r="B126" s="3" t="s">
        <v>1470</v>
      </c>
      <c r="C126" s="3" t="s">
        <v>171</v>
      </c>
      <c r="D126" s="4">
        <f>COUNTIF(Mapping!$I$2:$I$601,A126)</f>
        <v>1</v>
      </c>
      <c r="E126" s="3" t="s">
        <v>2777</v>
      </c>
      <c r="F126" s="3" t="s">
        <v>2715</v>
      </c>
    </row>
    <row r="127" spans="1:6" ht="48" x14ac:dyDescent="0.25">
      <c r="A127" s="2" t="s">
        <v>1076</v>
      </c>
      <c r="B127" s="3" t="s">
        <v>1077</v>
      </c>
      <c r="C127" s="3" t="s">
        <v>1046</v>
      </c>
      <c r="D127" s="4">
        <f>COUNTIF(Mapping!$I$2:$I$601,A127)</f>
        <v>1</v>
      </c>
      <c r="E127" s="3" t="s">
        <v>2777</v>
      </c>
      <c r="F127" s="3" t="s">
        <v>2723</v>
      </c>
    </row>
    <row r="128" spans="1:6" ht="48" x14ac:dyDescent="0.25">
      <c r="A128" s="2" t="s">
        <v>1081</v>
      </c>
      <c r="B128" s="3" t="s">
        <v>1083</v>
      </c>
      <c r="C128" s="3" t="s">
        <v>1046</v>
      </c>
      <c r="D128" s="4">
        <f>COUNTIF(Mapping!$I$2:$I$601,A128)</f>
        <v>1</v>
      </c>
      <c r="E128" s="3" t="s">
        <v>2777</v>
      </c>
      <c r="F128" s="3" t="s">
        <v>2723</v>
      </c>
    </row>
    <row r="129" spans="1:6" ht="24" x14ac:dyDescent="0.25">
      <c r="A129" s="2" t="s">
        <v>1114</v>
      </c>
      <c r="B129" s="3" t="s">
        <v>1115</v>
      </c>
      <c r="C129" s="3" t="s">
        <v>164</v>
      </c>
      <c r="D129" s="4">
        <f>COUNTIF(Mapping!$I$2:$I$601,A129)</f>
        <v>1</v>
      </c>
      <c r="E129" s="3" t="s">
        <v>2777</v>
      </c>
      <c r="F129" s="3" t="s">
        <v>2709</v>
      </c>
    </row>
    <row r="130" spans="1:6" x14ac:dyDescent="0.25">
      <c r="A130" s="2" t="s">
        <v>1865</v>
      </c>
      <c r="B130" s="3" t="s">
        <v>1866</v>
      </c>
      <c r="C130" s="3" t="s">
        <v>781</v>
      </c>
      <c r="D130" s="4">
        <f>COUNTIF(Mapping!$I$2:$I$601,A130)</f>
        <v>1</v>
      </c>
      <c r="E130" s="3" t="s">
        <v>2777</v>
      </c>
      <c r="F130" s="3" t="s">
        <v>2741</v>
      </c>
    </row>
    <row r="131" spans="1:6" ht="24" x14ac:dyDescent="0.25">
      <c r="A131" s="2" t="s">
        <v>1749</v>
      </c>
      <c r="B131" s="3" t="s">
        <v>1750</v>
      </c>
      <c r="C131" s="3" t="s">
        <v>1751</v>
      </c>
      <c r="D131" s="4">
        <f>COUNTIF(Mapping!$I$2:$I$601,A131)</f>
        <v>1</v>
      </c>
      <c r="E131" s="3" t="s">
        <v>2777</v>
      </c>
      <c r="F131" s="3" t="s">
        <v>2715</v>
      </c>
    </row>
    <row r="132" spans="1:6" ht="24" x14ac:dyDescent="0.25">
      <c r="A132" s="2" t="s">
        <v>1444</v>
      </c>
      <c r="B132" s="3" t="s">
        <v>1445</v>
      </c>
      <c r="C132" s="3" t="s">
        <v>171</v>
      </c>
      <c r="D132" s="4">
        <f>COUNTIF(Mapping!$I$2:$I$601,A132)</f>
        <v>1</v>
      </c>
      <c r="E132" s="3" t="s">
        <v>2777</v>
      </c>
      <c r="F132" s="3" t="s">
        <v>2715</v>
      </c>
    </row>
    <row r="133" spans="1:6" x14ac:dyDescent="0.25">
      <c r="A133" s="2" t="s">
        <v>1034</v>
      </c>
      <c r="B133" s="3" t="s">
        <v>1035</v>
      </c>
      <c r="C133" s="3" t="s">
        <v>148</v>
      </c>
      <c r="D133" s="4">
        <f>COUNTIF(Mapping!$I$2:$I$601,A133)</f>
        <v>1</v>
      </c>
      <c r="E133" s="3" t="s">
        <v>2777</v>
      </c>
      <c r="F133" s="3" t="s">
        <v>2723</v>
      </c>
    </row>
    <row r="134" spans="1:6" ht="48" x14ac:dyDescent="0.25">
      <c r="A134" s="2" t="s">
        <v>1044</v>
      </c>
      <c r="B134" s="3" t="s">
        <v>1047</v>
      </c>
      <c r="C134" s="3" t="s">
        <v>1046</v>
      </c>
      <c r="D134" s="4">
        <f>COUNTIF(Mapping!$I$2:$I$601,A134)</f>
        <v>1</v>
      </c>
      <c r="E134" s="3" t="s">
        <v>2777</v>
      </c>
      <c r="F134" s="3" t="s">
        <v>2723</v>
      </c>
    </row>
    <row r="135" spans="1:6" ht="24" x14ac:dyDescent="0.25">
      <c r="A135" s="2" t="s">
        <v>2031</v>
      </c>
      <c r="B135" s="3" t="s">
        <v>2033</v>
      </c>
      <c r="C135" s="3" t="s">
        <v>499</v>
      </c>
      <c r="D135" s="4">
        <f>COUNTIF(Mapping!$I$2:$I$601,A135)</f>
        <v>1</v>
      </c>
      <c r="E135" s="3" t="s">
        <v>2777</v>
      </c>
      <c r="F135" s="3" t="s">
        <v>2311</v>
      </c>
    </row>
    <row r="136" spans="1:6" ht="24" x14ac:dyDescent="0.25">
      <c r="A136" s="2" t="s">
        <v>1910</v>
      </c>
      <c r="B136" s="3" t="s">
        <v>1912</v>
      </c>
      <c r="C136" s="3" t="s">
        <v>1890</v>
      </c>
      <c r="D136" s="4">
        <f>COUNTIF(Mapping!$I$2:$I$601,A136)</f>
        <v>1</v>
      </c>
      <c r="E136" s="3" t="s">
        <v>2777</v>
      </c>
      <c r="F136" s="3" t="s">
        <v>2718</v>
      </c>
    </row>
    <row r="137" spans="1:6" ht="24" x14ac:dyDescent="0.25">
      <c r="A137" s="2" t="s">
        <v>1476</v>
      </c>
      <c r="B137" s="3" t="s">
        <v>1477</v>
      </c>
      <c r="C137" s="3" t="s">
        <v>1478</v>
      </c>
      <c r="D137" s="4">
        <f>COUNTIF(Mapping!$I$2:$I$601,A137)</f>
        <v>1</v>
      </c>
      <c r="E137" s="3" t="s">
        <v>2777</v>
      </c>
      <c r="F137" s="3" t="s">
        <v>2715</v>
      </c>
    </row>
    <row r="138" spans="1:6" x14ac:dyDescent="0.25">
      <c r="A138" s="2" t="s">
        <v>1969</v>
      </c>
      <c r="B138" s="3" t="s">
        <v>1970</v>
      </c>
      <c r="C138" s="3" t="s">
        <v>1696</v>
      </c>
      <c r="D138" s="4">
        <f>COUNTIF(Mapping!$I$2:$I$601,A138)</f>
        <v>1</v>
      </c>
      <c r="E138" s="3" t="s">
        <v>2777</v>
      </c>
      <c r="F138" s="3" t="s">
        <v>2776</v>
      </c>
    </row>
    <row r="139" spans="1:6" x14ac:dyDescent="0.25">
      <c r="A139" s="2" t="s">
        <v>1964</v>
      </c>
      <c r="B139" s="3" t="s">
        <v>1966</v>
      </c>
      <c r="C139" s="3" t="s">
        <v>1696</v>
      </c>
      <c r="D139" s="4">
        <f>COUNTIF(Mapping!$I$2:$I$601,A139)</f>
        <v>1</v>
      </c>
      <c r="E139" s="3" t="s">
        <v>2777</v>
      </c>
      <c r="F139" s="3" t="s">
        <v>2776</v>
      </c>
    </row>
    <row r="140" spans="1:6" x14ac:dyDescent="0.25">
      <c r="C140" s="9" t="s">
        <v>2790</v>
      </c>
      <c r="D140" s="9">
        <f>SUM(D5:D139)</f>
        <v>469</v>
      </c>
    </row>
  </sheetData>
  <autoFilter ref="A4:F139" xr:uid="{00000000-0009-0000-0000-000004000000}"/>
  <pageMargins left="0.75" right="0.75" top="1" bottom="1" header="0.5" footer="0.5"/>
  <pageSetup paperSize="8" fitToHeight="0" orientation="landscape"/>
  <headerFooter>
    <oddFooter>&amp;C&amp;8 &amp;A – Seite &amp;P von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pageSetUpPr fitToPage="1"/>
  </sheetPr>
  <dimension ref="A1:B31"/>
  <sheetViews>
    <sheetView workbookViewId="0"/>
  </sheetViews>
  <sheetFormatPr defaultColWidth="9.140625" defaultRowHeight="15" x14ac:dyDescent="0.25"/>
  <cols>
    <col min="1" max="1" width="30" customWidth="1"/>
    <col min="2" max="2" width="150" customWidth="1"/>
  </cols>
  <sheetData>
    <row r="1" spans="1:2" ht="18" x14ac:dyDescent="0.25">
      <c r="A1" s="5" t="s">
        <v>2791</v>
      </c>
    </row>
    <row r="3" spans="1:2" x14ac:dyDescent="0.25">
      <c r="A3" s="7" t="s">
        <v>2792</v>
      </c>
      <c r="B3" s="8"/>
    </row>
    <row r="4" spans="1:2" x14ac:dyDescent="0.25">
      <c r="A4" s="18" t="s">
        <v>2793</v>
      </c>
      <c r="B4" s="19" t="s">
        <v>2794</v>
      </c>
    </row>
    <row r="5" spans="1:2" ht="24" x14ac:dyDescent="0.25">
      <c r="A5" s="18" t="s">
        <v>2795</v>
      </c>
      <c r="B5" s="19" t="s">
        <v>2796</v>
      </c>
    </row>
    <row r="6" spans="1:2" ht="24" x14ac:dyDescent="0.25">
      <c r="A6" s="18" t="s">
        <v>2797</v>
      </c>
      <c r="B6" s="19" t="s">
        <v>2798</v>
      </c>
    </row>
    <row r="7" spans="1:2" x14ac:dyDescent="0.25">
      <c r="A7" s="7" t="s">
        <v>2799</v>
      </c>
      <c r="B7" s="8"/>
    </row>
    <row r="8" spans="1:2" ht="24" x14ac:dyDescent="0.25">
      <c r="A8" s="18" t="s">
        <v>2800</v>
      </c>
      <c r="B8" s="19" t="s">
        <v>2801</v>
      </c>
    </row>
    <row r="9" spans="1:2" ht="48" x14ac:dyDescent="0.25">
      <c r="A9" s="18" t="s">
        <v>2802</v>
      </c>
      <c r="B9" s="19" t="s">
        <v>2803</v>
      </c>
    </row>
    <row r="10" spans="1:2" ht="24" x14ac:dyDescent="0.25">
      <c r="A10" s="18" t="s">
        <v>2804</v>
      </c>
      <c r="B10" s="19" t="s">
        <v>2805</v>
      </c>
    </row>
    <row r="11" spans="1:2" ht="60" x14ac:dyDescent="0.25">
      <c r="A11" s="18" t="s">
        <v>2806</v>
      </c>
      <c r="B11" s="19" t="s">
        <v>2807</v>
      </c>
    </row>
    <row r="12" spans="1:2" x14ac:dyDescent="0.25">
      <c r="A12" s="7" t="s">
        <v>2808</v>
      </c>
      <c r="B12" s="8"/>
    </row>
    <row r="13" spans="1:2" x14ac:dyDescent="0.25">
      <c r="A13" s="18" t="s">
        <v>63</v>
      </c>
      <c r="B13" s="19" t="s">
        <v>2809</v>
      </c>
    </row>
    <row r="14" spans="1:2" ht="24" x14ac:dyDescent="0.25">
      <c r="A14" s="18" t="s">
        <v>26</v>
      </c>
      <c r="B14" s="19" t="s">
        <v>2810</v>
      </c>
    </row>
    <row r="15" spans="1:2" ht="24" x14ac:dyDescent="0.25">
      <c r="A15" s="18" t="s">
        <v>771</v>
      </c>
      <c r="B15" s="19" t="s">
        <v>2811</v>
      </c>
    </row>
    <row r="16" spans="1:2" ht="24" x14ac:dyDescent="0.25">
      <c r="A16" s="18" t="s">
        <v>35</v>
      </c>
      <c r="B16" s="19" t="s">
        <v>2812</v>
      </c>
    </row>
    <row r="17" spans="1:2" ht="24" x14ac:dyDescent="0.25">
      <c r="A17" s="18" t="s">
        <v>235</v>
      </c>
      <c r="B17" s="19" t="s">
        <v>2813</v>
      </c>
    </row>
    <row r="18" spans="1:2" x14ac:dyDescent="0.25">
      <c r="A18" s="18" t="s">
        <v>2814</v>
      </c>
      <c r="B18" s="19" t="s">
        <v>2815</v>
      </c>
    </row>
    <row r="19" spans="1:2" x14ac:dyDescent="0.25">
      <c r="A19" s="7" t="s">
        <v>2816</v>
      </c>
      <c r="B19" s="8"/>
    </row>
    <row r="20" spans="1:2" ht="24" x14ac:dyDescent="0.25">
      <c r="A20" s="18" t="s">
        <v>2817</v>
      </c>
      <c r="B20" s="19" t="s">
        <v>2818</v>
      </c>
    </row>
    <row r="21" spans="1:2" ht="24" x14ac:dyDescent="0.25">
      <c r="A21" s="18" t="s">
        <v>2819</v>
      </c>
      <c r="B21" s="19" t="s">
        <v>2820</v>
      </c>
    </row>
    <row r="22" spans="1:2" ht="24" x14ac:dyDescent="0.25">
      <c r="A22" s="18" t="s">
        <v>2821</v>
      </c>
      <c r="B22" s="19" t="s">
        <v>2822</v>
      </c>
    </row>
    <row r="23" spans="1:2" x14ac:dyDescent="0.25">
      <c r="A23" s="7" t="s">
        <v>2823</v>
      </c>
      <c r="B23" s="8"/>
    </row>
    <row r="24" spans="1:2" ht="24" x14ac:dyDescent="0.25">
      <c r="A24" s="18" t="s">
        <v>2824</v>
      </c>
      <c r="B24" s="19" t="s">
        <v>2825</v>
      </c>
    </row>
    <row r="25" spans="1:2" ht="36" x14ac:dyDescent="0.25">
      <c r="A25" s="18" t="s">
        <v>2826</v>
      </c>
      <c r="B25" s="19" t="s">
        <v>2827</v>
      </c>
    </row>
    <row r="26" spans="1:2" x14ac:dyDescent="0.25">
      <c r="A26" s="18" t="s">
        <v>2828</v>
      </c>
      <c r="B26" s="19" t="s">
        <v>2829</v>
      </c>
    </row>
    <row r="27" spans="1:2" ht="36" x14ac:dyDescent="0.25">
      <c r="A27" s="18" t="s">
        <v>2830</v>
      </c>
      <c r="B27" s="19" t="s">
        <v>2831</v>
      </c>
    </row>
    <row r="28" spans="1:2" ht="36" x14ac:dyDescent="0.25">
      <c r="A28" s="18" t="s">
        <v>2832</v>
      </c>
      <c r="B28" s="19" t="s">
        <v>2833</v>
      </c>
    </row>
    <row r="29" spans="1:2" ht="48" x14ac:dyDescent="0.25">
      <c r="A29" s="18" t="s">
        <v>2834</v>
      </c>
      <c r="B29" s="19" t="s">
        <v>2835</v>
      </c>
    </row>
    <row r="30" spans="1:2" ht="24" x14ac:dyDescent="0.25">
      <c r="A30" s="18" t="s">
        <v>2836</v>
      </c>
      <c r="B30" s="19" t="s">
        <v>2837</v>
      </c>
    </row>
    <row r="31" spans="1:2" ht="36" x14ac:dyDescent="0.25">
      <c r="A31" s="18" t="s">
        <v>2838</v>
      </c>
      <c r="B31" s="19" t="s">
        <v>2839</v>
      </c>
    </row>
  </sheetData>
  <pageMargins left="0.75" right="0.75" top="1" bottom="1" header="0.5" footer="0.5"/>
  <pageSetup paperSize="9" fitToHeight="0" orientation="landscape"/>
  <headerFooter>
    <oddFooter>&amp;C&amp;8 &amp;A – Seite &amp;P von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pageSetUpPr fitToPage="1"/>
  </sheetPr>
  <dimension ref="A1:E708"/>
  <sheetViews>
    <sheetView workbookViewId="0">
      <pane xSplit="1" ySplit="4" topLeftCell="B5" activePane="bottomRight" state="frozen"/>
      <selection pane="topRight"/>
      <selection pane="bottomLeft"/>
      <selection pane="bottomRight"/>
    </sheetView>
  </sheetViews>
  <sheetFormatPr defaultColWidth="9.140625" defaultRowHeight="15" x14ac:dyDescent="0.25"/>
  <cols>
    <col min="1" max="1" width="12" customWidth="1"/>
    <col min="2" max="3" width="52" customWidth="1"/>
    <col min="4" max="4" width="90" customWidth="1"/>
    <col min="5" max="5" width="9" customWidth="1"/>
  </cols>
  <sheetData>
    <row r="1" spans="1:5" ht="18" x14ac:dyDescent="0.25">
      <c r="A1" s="5" t="s">
        <v>2840</v>
      </c>
    </row>
    <row r="2" spans="1:5" x14ac:dyDescent="0.25">
      <c r="A2" s="6" t="s">
        <v>2841</v>
      </c>
    </row>
    <row r="4" spans="1:5" x14ac:dyDescent="0.25">
      <c r="A4" s="1" t="s">
        <v>2699</v>
      </c>
      <c r="B4" s="1" t="s">
        <v>2842</v>
      </c>
      <c r="C4" s="1" t="s">
        <v>2843</v>
      </c>
      <c r="D4" s="1" t="s">
        <v>2844</v>
      </c>
      <c r="E4" s="1" t="s">
        <v>2845</v>
      </c>
    </row>
    <row r="5" spans="1:5" x14ac:dyDescent="0.25">
      <c r="A5" s="2" t="s">
        <v>2846</v>
      </c>
      <c r="B5" s="23" t="s">
        <v>2847</v>
      </c>
      <c r="C5" s="23"/>
      <c r="D5" s="23" t="s">
        <v>2848</v>
      </c>
      <c r="E5" s="4" t="s">
        <v>2849</v>
      </c>
    </row>
    <row r="6" spans="1:5" x14ac:dyDescent="0.25">
      <c r="A6" s="2" t="s">
        <v>2850</v>
      </c>
      <c r="B6" s="23" t="s">
        <v>2851</v>
      </c>
      <c r="C6" s="23"/>
      <c r="D6" s="23" t="s">
        <v>2848</v>
      </c>
      <c r="E6" s="4" t="s">
        <v>2849</v>
      </c>
    </row>
    <row r="7" spans="1:5" x14ac:dyDescent="0.25">
      <c r="A7" s="2" t="s">
        <v>443</v>
      </c>
      <c r="B7" s="23" t="s">
        <v>446</v>
      </c>
      <c r="C7" s="23"/>
      <c r="D7" s="23" t="s">
        <v>240</v>
      </c>
      <c r="E7" s="4" t="s">
        <v>2849</v>
      </c>
    </row>
    <row r="8" spans="1:5" x14ac:dyDescent="0.25">
      <c r="A8" s="2" t="s">
        <v>2852</v>
      </c>
      <c r="B8" s="23" t="s">
        <v>2853</v>
      </c>
      <c r="C8" s="23"/>
      <c r="D8" s="23" t="s">
        <v>240</v>
      </c>
      <c r="E8" s="4" t="s">
        <v>2849</v>
      </c>
    </row>
    <row r="9" spans="1:5" x14ac:dyDescent="0.25">
      <c r="A9" s="2" t="s">
        <v>392</v>
      </c>
      <c r="B9" s="23" t="s">
        <v>2854</v>
      </c>
      <c r="C9" s="23" t="s">
        <v>2083</v>
      </c>
      <c r="D9" s="23" t="s">
        <v>240</v>
      </c>
      <c r="E9" s="4" t="s">
        <v>2849</v>
      </c>
    </row>
    <row r="10" spans="1:5" x14ac:dyDescent="0.25">
      <c r="A10" s="2" t="s">
        <v>2855</v>
      </c>
      <c r="B10" s="23" t="s">
        <v>2856</v>
      </c>
      <c r="C10" s="23"/>
      <c r="D10" s="23" t="s">
        <v>240</v>
      </c>
      <c r="E10" s="4" t="s">
        <v>2849</v>
      </c>
    </row>
    <row r="11" spans="1:5" x14ac:dyDescent="0.25">
      <c r="A11" s="2" t="s">
        <v>2857</v>
      </c>
      <c r="B11" s="23" t="s">
        <v>2858</v>
      </c>
      <c r="C11" s="23"/>
      <c r="D11" s="23" t="s">
        <v>240</v>
      </c>
      <c r="E11" s="4" t="s">
        <v>2849</v>
      </c>
    </row>
    <row r="12" spans="1:5" x14ac:dyDescent="0.25">
      <c r="A12" s="2" t="s">
        <v>238</v>
      </c>
      <c r="B12" s="23" t="s">
        <v>2859</v>
      </c>
      <c r="C12" s="23" t="s">
        <v>239</v>
      </c>
      <c r="D12" s="23" t="s">
        <v>240</v>
      </c>
      <c r="E12" s="4" t="s">
        <v>2849</v>
      </c>
    </row>
    <row r="13" spans="1:5" x14ac:dyDescent="0.25">
      <c r="A13" s="2" t="s">
        <v>2860</v>
      </c>
      <c r="B13" s="23" t="s">
        <v>2861</v>
      </c>
      <c r="C13" s="23"/>
      <c r="D13" s="23" t="s">
        <v>240</v>
      </c>
      <c r="E13" s="4" t="s">
        <v>2849</v>
      </c>
    </row>
    <row r="14" spans="1:5" x14ac:dyDescent="0.25">
      <c r="A14" s="2" t="s">
        <v>2862</v>
      </c>
      <c r="B14" s="23" t="s">
        <v>2863</v>
      </c>
      <c r="C14" s="23"/>
      <c r="D14" s="23" t="s">
        <v>240</v>
      </c>
      <c r="E14" s="4" t="s">
        <v>2849</v>
      </c>
    </row>
    <row r="15" spans="1:5" x14ac:dyDescent="0.25">
      <c r="A15" s="2" t="s">
        <v>2864</v>
      </c>
      <c r="B15" s="23" t="s">
        <v>2865</v>
      </c>
      <c r="C15" s="23"/>
      <c r="D15" s="23" t="s">
        <v>240</v>
      </c>
      <c r="E15" s="4" t="s">
        <v>2849</v>
      </c>
    </row>
    <row r="16" spans="1:5" x14ac:dyDescent="0.25">
      <c r="A16" s="2" t="s">
        <v>2866</v>
      </c>
      <c r="B16" s="23" t="s">
        <v>2867</v>
      </c>
      <c r="C16" s="23"/>
      <c r="D16" s="23" t="s">
        <v>240</v>
      </c>
      <c r="E16" s="4" t="s">
        <v>2849</v>
      </c>
    </row>
    <row r="17" spans="1:5" x14ac:dyDescent="0.25">
      <c r="A17" s="2" t="s">
        <v>2868</v>
      </c>
      <c r="B17" s="23" t="s">
        <v>2869</v>
      </c>
      <c r="C17" s="23"/>
      <c r="D17" s="23" t="s">
        <v>240</v>
      </c>
      <c r="E17" s="4" t="s">
        <v>2849</v>
      </c>
    </row>
    <row r="18" spans="1:5" x14ac:dyDescent="0.25">
      <c r="A18" s="2" t="s">
        <v>2870</v>
      </c>
      <c r="B18" s="23" t="s">
        <v>2871</v>
      </c>
      <c r="C18" s="23"/>
      <c r="D18" s="23" t="s">
        <v>240</v>
      </c>
      <c r="E18" s="4" t="s">
        <v>2849</v>
      </c>
    </row>
    <row r="19" spans="1:5" x14ac:dyDescent="0.25">
      <c r="A19" s="2" t="s">
        <v>2872</v>
      </c>
      <c r="B19" s="23" t="s">
        <v>2873</v>
      </c>
      <c r="C19" s="23"/>
      <c r="D19" s="23" t="s">
        <v>240</v>
      </c>
      <c r="E19" s="4" t="s">
        <v>2849</v>
      </c>
    </row>
    <row r="20" spans="1:5" x14ac:dyDescent="0.25">
      <c r="A20" s="2" t="s">
        <v>2874</v>
      </c>
      <c r="B20" s="23" t="s">
        <v>2875</v>
      </c>
      <c r="C20" s="23"/>
      <c r="D20" s="23" t="s">
        <v>240</v>
      </c>
      <c r="E20" s="4" t="s">
        <v>2849</v>
      </c>
    </row>
    <row r="21" spans="1:5" x14ac:dyDescent="0.25">
      <c r="A21" s="2" t="s">
        <v>2876</v>
      </c>
      <c r="B21" s="23" t="s">
        <v>2877</v>
      </c>
      <c r="C21" s="23"/>
      <c r="D21" s="23" t="s">
        <v>240</v>
      </c>
      <c r="E21" s="4" t="s">
        <v>2849</v>
      </c>
    </row>
    <row r="22" spans="1:5" x14ac:dyDescent="0.25">
      <c r="A22" s="2" t="s">
        <v>2878</v>
      </c>
      <c r="B22" s="23" t="s">
        <v>2879</v>
      </c>
      <c r="C22" s="23"/>
      <c r="D22" s="23" t="s">
        <v>2848</v>
      </c>
      <c r="E22" s="4" t="s">
        <v>2849</v>
      </c>
    </row>
    <row r="23" spans="1:5" x14ac:dyDescent="0.25">
      <c r="A23" s="2" t="s">
        <v>2880</v>
      </c>
      <c r="B23" s="23" t="s">
        <v>2881</v>
      </c>
      <c r="C23" s="23"/>
      <c r="D23" s="23" t="s">
        <v>240</v>
      </c>
      <c r="E23" s="4" t="s">
        <v>2849</v>
      </c>
    </row>
    <row r="24" spans="1:5" x14ac:dyDescent="0.25">
      <c r="A24" s="2" t="s">
        <v>416</v>
      </c>
      <c r="B24" s="23"/>
      <c r="C24" s="23" t="s">
        <v>1859</v>
      </c>
      <c r="D24" s="23" t="s">
        <v>41</v>
      </c>
      <c r="E24" s="4" t="s">
        <v>2882</v>
      </c>
    </row>
    <row r="25" spans="1:5" x14ac:dyDescent="0.25">
      <c r="A25" s="2" t="s">
        <v>2883</v>
      </c>
      <c r="B25" s="23" t="s">
        <v>2884</v>
      </c>
      <c r="C25" s="23"/>
      <c r="D25" s="23" t="s">
        <v>2848</v>
      </c>
      <c r="E25" s="4" t="s">
        <v>2849</v>
      </c>
    </row>
    <row r="26" spans="1:5" x14ac:dyDescent="0.25">
      <c r="A26" s="2" t="s">
        <v>2885</v>
      </c>
      <c r="B26" s="23" t="s">
        <v>2886</v>
      </c>
      <c r="C26" s="23"/>
      <c r="D26" s="23" t="s">
        <v>2848</v>
      </c>
      <c r="E26" s="4" t="s">
        <v>2849</v>
      </c>
    </row>
    <row r="27" spans="1:5" x14ac:dyDescent="0.25">
      <c r="A27" s="2" t="s">
        <v>2887</v>
      </c>
      <c r="B27" s="23" t="s">
        <v>2888</v>
      </c>
      <c r="C27" s="23"/>
      <c r="D27" s="23" t="s">
        <v>2848</v>
      </c>
      <c r="E27" s="4" t="s">
        <v>2849</v>
      </c>
    </row>
    <row r="28" spans="1:5" x14ac:dyDescent="0.25">
      <c r="A28" s="2" t="s">
        <v>2889</v>
      </c>
      <c r="B28" s="23" t="s">
        <v>2890</v>
      </c>
      <c r="C28" s="23"/>
      <c r="D28" s="23" t="s">
        <v>2848</v>
      </c>
      <c r="E28" s="4" t="s">
        <v>2849</v>
      </c>
    </row>
    <row r="29" spans="1:5" x14ac:dyDescent="0.25">
      <c r="A29" s="2" t="s">
        <v>2891</v>
      </c>
      <c r="B29" s="23" t="s">
        <v>2892</v>
      </c>
      <c r="C29" s="23"/>
      <c r="D29" s="23" t="s">
        <v>2848</v>
      </c>
      <c r="E29" s="4" t="s">
        <v>2849</v>
      </c>
    </row>
    <row r="30" spans="1:5" x14ac:dyDescent="0.25">
      <c r="A30" s="2" t="s">
        <v>2893</v>
      </c>
      <c r="B30" s="23" t="s">
        <v>2894</v>
      </c>
      <c r="C30" s="23"/>
      <c r="D30" s="23" t="s">
        <v>2848</v>
      </c>
      <c r="E30" s="4" t="s">
        <v>2849</v>
      </c>
    </row>
    <row r="31" spans="1:5" x14ac:dyDescent="0.25">
      <c r="A31" s="2" t="s">
        <v>2895</v>
      </c>
      <c r="B31" s="23" t="s">
        <v>2896</v>
      </c>
      <c r="C31" s="23"/>
      <c r="D31" s="23" t="s">
        <v>2848</v>
      </c>
      <c r="E31" s="4" t="s">
        <v>2849</v>
      </c>
    </row>
    <row r="32" spans="1:5" x14ac:dyDescent="0.25">
      <c r="A32" s="2" t="s">
        <v>2897</v>
      </c>
      <c r="B32" s="23" t="s">
        <v>2898</v>
      </c>
      <c r="C32" s="23"/>
      <c r="D32" s="23" t="s">
        <v>2848</v>
      </c>
      <c r="E32" s="4" t="s">
        <v>2849</v>
      </c>
    </row>
    <row r="33" spans="1:5" x14ac:dyDescent="0.25">
      <c r="A33" s="2" t="s">
        <v>2899</v>
      </c>
      <c r="B33" s="23" t="s">
        <v>2900</v>
      </c>
      <c r="C33" s="23"/>
      <c r="D33" s="23" t="s">
        <v>2848</v>
      </c>
      <c r="E33" s="4" t="s">
        <v>2849</v>
      </c>
    </row>
    <row r="34" spans="1:5" x14ac:dyDescent="0.25">
      <c r="A34" s="2" t="s">
        <v>225</v>
      </c>
      <c r="B34" s="23" t="s">
        <v>226</v>
      </c>
      <c r="C34" s="23"/>
      <c r="D34" s="23" t="s">
        <v>205</v>
      </c>
      <c r="E34" s="4" t="s">
        <v>2849</v>
      </c>
    </row>
    <row r="35" spans="1:5" x14ac:dyDescent="0.25">
      <c r="A35" s="2" t="s">
        <v>2901</v>
      </c>
      <c r="B35" s="23" t="s">
        <v>2902</v>
      </c>
      <c r="C35" s="23"/>
      <c r="D35" s="23" t="s">
        <v>205</v>
      </c>
      <c r="E35" s="4" t="s">
        <v>2849</v>
      </c>
    </row>
    <row r="36" spans="1:5" x14ac:dyDescent="0.25">
      <c r="A36" s="2" t="s">
        <v>2903</v>
      </c>
      <c r="B36" s="23" t="s">
        <v>2904</v>
      </c>
      <c r="C36" s="23"/>
      <c r="D36" s="23" t="s">
        <v>365</v>
      </c>
      <c r="E36" s="4" t="s">
        <v>2849</v>
      </c>
    </row>
    <row r="37" spans="1:5" x14ac:dyDescent="0.25">
      <c r="A37" s="2" t="s">
        <v>217</v>
      </c>
      <c r="B37" s="23" t="s">
        <v>218</v>
      </c>
      <c r="C37" s="23"/>
      <c r="D37" s="23" t="s">
        <v>205</v>
      </c>
      <c r="E37" s="4" t="s">
        <v>2849</v>
      </c>
    </row>
    <row r="38" spans="1:5" x14ac:dyDescent="0.25">
      <c r="A38" s="2" t="s">
        <v>264</v>
      </c>
      <c r="B38" s="23" t="s">
        <v>2905</v>
      </c>
      <c r="C38" s="23" t="s">
        <v>2906</v>
      </c>
      <c r="D38" s="23" t="s">
        <v>132</v>
      </c>
      <c r="E38" s="4" t="s">
        <v>2849</v>
      </c>
    </row>
    <row r="39" spans="1:5" x14ac:dyDescent="0.25">
      <c r="A39" s="2" t="s">
        <v>2907</v>
      </c>
      <c r="B39" s="23" t="s">
        <v>2908</v>
      </c>
      <c r="C39" s="23"/>
      <c r="D39" s="23" t="s">
        <v>365</v>
      </c>
      <c r="E39" s="4" t="s">
        <v>2849</v>
      </c>
    </row>
    <row r="40" spans="1:5" x14ac:dyDescent="0.25">
      <c r="A40" s="2" t="s">
        <v>2909</v>
      </c>
      <c r="B40" s="23" t="s">
        <v>2910</v>
      </c>
      <c r="C40" s="23"/>
      <c r="D40" s="23" t="s">
        <v>205</v>
      </c>
      <c r="E40" s="4" t="s">
        <v>2849</v>
      </c>
    </row>
    <row r="41" spans="1:5" x14ac:dyDescent="0.25">
      <c r="A41" s="2" t="s">
        <v>2911</v>
      </c>
      <c r="B41" s="23" t="s">
        <v>2912</v>
      </c>
      <c r="C41" s="23"/>
      <c r="D41" s="23" t="s">
        <v>132</v>
      </c>
      <c r="E41" s="4" t="s">
        <v>2849</v>
      </c>
    </row>
    <row r="42" spans="1:5" x14ac:dyDescent="0.25">
      <c r="A42" s="2" t="s">
        <v>2913</v>
      </c>
      <c r="B42" s="23" t="s">
        <v>2914</v>
      </c>
      <c r="C42" s="23"/>
      <c r="D42" s="23" t="s">
        <v>205</v>
      </c>
      <c r="E42" s="4" t="s">
        <v>2849</v>
      </c>
    </row>
    <row r="43" spans="1:5" x14ac:dyDescent="0.25">
      <c r="A43" s="2" t="s">
        <v>2915</v>
      </c>
      <c r="B43" s="23" t="s">
        <v>2916</v>
      </c>
      <c r="C43" s="23"/>
      <c r="D43" s="23" t="s">
        <v>205</v>
      </c>
      <c r="E43" s="4" t="s">
        <v>2849</v>
      </c>
    </row>
    <row r="44" spans="1:5" x14ac:dyDescent="0.25">
      <c r="A44" s="2" t="s">
        <v>2917</v>
      </c>
      <c r="B44" s="23" t="s">
        <v>2918</v>
      </c>
      <c r="C44" s="23"/>
      <c r="D44" s="23" t="s">
        <v>205</v>
      </c>
      <c r="E44" s="4" t="s">
        <v>2849</v>
      </c>
    </row>
    <row r="45" spans="1:5" x14ac:dyDescent="0.25">
      <c r="A45" s="2" t="s">
        <v>2919</v>
      </c>
      <c r="B45" s="23" t="s">
        <v>2920</v>
      </c>
      <c r="C45" s="23"/>
      <c r="D45" s="23" t="s">
        <v>205</v>
      </c>
      <c r="E45" s="4" t="s">
        <v>2849</v>
      </c>
    </row>
    <row r="46" spans="1:5" x14ac:dyDescent="0.25">
      <c r="A46" s="2" t="s">
        <v>2921</v>
      </c>
      <c r="B46" s="23" t="s">
        <v>2922</v>
      </c>
      <c r="C46" s="23"/>
      <c r="D46" s="23" t="s">
        <v>365</v>
      </c>
      <c r="E46" s="4" t="s">
        <v>2849</v>
      </c>
    </row>
    <row r="47" spans="1:5" x14ac:dyDescent="0.25">
      <c r="A47" s="2" t="s">
        <v>2923</v>
      </c>
      <c r="B47" s="23" t="s">
        <v>2924</v>
      </c>
      <c r="C47" s="23"/>
      <c r="D47" s="23" t="s">
        <v>205</v>
      </c>
      <c r="E47" s="4" t="s">
        <v>2849</v>
      </c>
    </row>
    <row r="48" spans="1:5" x14ac:dyDescent="0.25">
      <c r="A48" s="2" t="s">
        <v>267</v>
      </c>
      <c r="B48" s="23" t="s">
        <v>268</v>
      </c>
      <c r="C48" s="23"/>
      <c r="D48" s="23" t="s">
        <v>205</v>
      </c>
      <c r="E48" s="4" t="s">
        <v>2849</v>
      </c>
    </row>
    <row r="49" spans="1:5" x14ac:dyDescent="0.25">
      <c r="A49" s="2" t="s">
        <v>2925</v>
      </c>
      <c r="B49" s="23" t="s">
        <v>2926</v>
      </c>
      <c r="C49" s="23"/>
      <c r="D49" s="23" t="s">
        <v>365</v>
      </c>
      <c r="E49" s="4" t="s">
        <v>2849</v>
      </c>
    </row>
    <row r="50" spans="1:5" x14ac:dyDescent="0.25">
      <c r="A50" s="2" t="s">
        <v>2927</v>
      </c>
      <c r="B50" s="23" t="s">
        <v>2928</v>
      </c>
      <c r="C50" s="23"/>
      <c r="D50" s="23" t="s">
        <v>205</v>
      </c>
      <c r="E50" s="4" t="s">
        <v>2849</v>
      </c>
    </row>
    <row r="51" spans="1:5" x14ac:dyDescent="0.25">
      <c r="A51" s="2" t="s">
        <v>280</v>
      </c>
      <c r="B51" s="23" t="s">
        <v>281</v>
      </c>
      <c r="C51" s="23"/>
      <c r="D51" s="23" t="s">
        <v>205</v>
      </c>
      <c r="E51" s="4" t="s">
        <v>2849</v>
      </c>
    </row>
    <row r="52" spans="1:5" x14ac:dyDescent="0.25">
      <c r="A52" s="2" t="s">
        <v>1482</v>
      </c>
      <c r="B52" s="23" t="s">
        <v>2929</v>
      </c>
      <c r="C52" s="23" t="s">
        <v>1483</v>
      </c>
      <c r="D52" s="23" t="s">
        <v>205</v>
      </c>
      <c r="E52" s="4" t="s">
        <v>2849</v>
      </c>
    </row>
    <row r="53" spans="1:5" x14ac:dyDescent="0.25">
      <c r="A53" s="2" t="s">
        <v>202</v>
      </c>
      <c r="B53" s="23" t="s">
        <v>2930</v>
      </c>
      <c r="C53" s="23" t="s">
        <v>203</v>
      </c>
      <c r="D53" s="23" t="s">
        <v>205</v>
      </c>
      <c r="E53" s="4" t="s">
        <v>2849</v>
      </c>
    </row>
    <row r="54" spans="1:5" x14ac:dyDescent="0.25">
      <c r="A54" s="2" t="s">
        <v>206</v>
      </c>
      <c r="B54" s="23" t="s">
        <v>207</v>
      </c>
      <c r="C54" s="23"/>
      <c r="D54" s="23" t="s">
        <v>205</v>
      </c>
      <c r="E54" s="4" t="s">
        <v>2849</v>
      </c>
    </row>
    <row r="55" spans="1:5" x14ac:dyDescent="0.25">
      <c r="A55" s="2" t="s">
        <v>362</v>
      </c>
      <c r="B55" s="23" t="s">
        <v>2931</v>
      </c>
      <c r="C55" s="23" t="s">
        <v>363</v>
      </c>
      <c r="D55" s="23" t="s">
        <v>365</v>
      </c>
      <c r="E55" s="4" t="s">
        <v>2849</v>
      </c>
    </row>
    <row r="56" spans="1:5" x14ac:dyDescent="0.25">
      <c r="A56" s="2" t="s">
        <v>2932</v>
      </c>
      <c r="B56" s="23" t="s">
        <v>2933</v>
      </c>
      <c r="C56" s="23"/>
      <c r="D56" s="23" t="s">
        <v>2848</v>
      </c>
      <c r="E56" s="4" t="s">
        <v>2849</v>
      </c>
    </row>
    <row r="57" spans="1:5" x14ac:dyDescent="0.25">
      <c r="A57" s="2" t="s">
        <v>2934</v>
      </c>
      <c r="B57" s="23" t="s">
        <v>2935</v>
      </c>
      <c r="C57" s="23"/>
      <c r="D57" s="23" t="s">
        <v>2848</v>
      </c>
      <c r="E57" s="4" t="s">
        <v>2849</v>
      </c>
    </row>
    <row r="58" spans="1:5" x14ac:dyDescent="0.25">
      <c r="A58" s="2" t="s">
        <v>2936</v>
      </c>
      <c r="B58" s="23" t="s">
        <v>2937</v>
      </c>
      <c r="C58" s="23"/>
      <c r="D58" s="23" t="s">
        <v>205</v>
      </c>
      <c r="E58" s="4" t="s">
        <v>2849</v>
      </c>
    </row>
    <row r="59" spans="1:5" x14ac:dyDescent="0.25">
      <c r="A59" s="2" t="s">
        <v>1457</v>
      </c>
      <c r="B59" s="23" t="s">
        <v>2938</v>
      </c>
      <c r="C59" s="23" t="s">
        <v>1458</v>
      </c>
      <c r="D59" s="23" t="s">
        <v>205</v>
      </c>
      <c r="E59" s="4" t="s">
        <v>2849</v>
      </c>
    </row>
    <row r="60" spans="1:5" x14ac:dyDescent="0.25">
      <c r="A60" s="2" t="s">
        <v>2939</v>
      </c>
      <c r="B60" s="23" t="s">
        <v>2940</v>
      </c>
      <c r="C60" s="23"/>
      <c r="D60" s="23" t="s">
        <v>205</v>
      </c>
      <c r="E60" s="4" t="s">
        <v>2849</v>
      </c>
    </row>
    <row r="61" spans="1:5" x14ac:dyDescent="0.25">
      <c r="A61" s="2" t="s">
        <v>2941</v>
      </c>
      <c r="B61" s="23" t="s">
        <v>2942</v>
      </c>
      <c r="C61" s="23"/>
      <c r="D61" s="23" t="s">
        <v>2848</v>
      </c>
      <c r="E61" s="4" t="s">
        <v>2849</v>
      </c>
    </row>
    <row r="62" spans="1:5" x14ac:dyDescent="0.25">
      <c r="A62" s="2" t="s">
        <v>215</v>
      </c>
      <c r="B62" s="23" t="s">
        <v>2943</v>
      </c>
      <c r="C62" s="23" t="s">
        <v>216</v>
      </c>
      <c r="D62" s="23" t="s">
        <v>205</v>
      </c>
      <c r="E62" s="4" t="s">
        <v>2849</v>
      </c>
    </row>
    <row r="63" spans="1:5" x14ac:dyDescent="0.25">
      <c r="A63" s="2" t="s">
        <v>322</v>
      </c>
      <c r="B63" s="23" t="s">
        <v>323</v>
      </c>
      <c r="C63" s="23"/>
      <c r="D63" s="23" t="s">
        <v>205</v>
      </c>
      <c r="E63" s="4" t="s">
        <v>2849</v>
      </c>
    </row>
    <row r="64" spans="1:5" x14ac:dyDescent="0.25">
      <c r="A64" s="2" t="s">
        <v>2944</v>
      </c>
      <c r="B64" s="23" t="s">
        <v>2945</v>
      </c>
      <c r="C64" s="23"/>
      <c r="D64" s="23" t="s">
        <v>205</v>
      </c>
      <c r="E64" s="4" t="s">
        <v>2849</v>
      </c>
    </row>
    <row r="65" spans="1:5" x14ac:dyDescent="0.25">
      <c r="A65" s="2" t="s">
        <v>350</v>
      </c>
      <c r="B65" s="23" t="s">
        <v>351</v>
      </c>
      <c r="C65" s="23"/>
      <c r="D65" s="23" t="s">
        <v>260</v>
      </c>
      <c r="E65" s="4" t="s">
        <v>2849</v>
      </c>
    </row>
    <row r="66" spans="1:5" x14ac:dyDescent="0.25">
      <c r="A66" s="2" t="s">
        <v>329</v>
      </c>
      <c r="B66" s="23" t="s">
        <v>330</v>
      </c>
      <c r="C66" s="23"/>
      <c r="D66" s="23" t="s">
        <v>205</v>
      </c>
      <c r="E66" s="4" t="s">
        <v>2849</v>
      </c>
    </row>
    <row r="67" spans="1:5" x14ac:dyDescent="0.25">
      <c r="A67" s="2" t="s">
        <v>2946</v>
      </c>
      <c r="B67" s="23" t="s">
        <v>2947</v>
      </c>
      <c r="C67" s="23"/>
      <c r="D67" s="23" t="s">
        <v>205</v>
      </c>
      <c r="E67" s="4" t="s">
        <v>2849</v>
      </c>
    </row>
    <row r="68" spans="1:5" x14ac:dyDescent="0.25">
      <c r="A68" s="2" t="s">
        <v>2948</v>
      </c>
      <c r="B68" s="23" t="s">
        <v>2949</v>
      </c>
      <c r="C68" s="23"/>
      <c r="D68" s="23" t="s">
        <v>205</v>
      </c>
      <c r="E68" s="4" t="s">
        <v>2849</v>
      </c>
    </row>
    <row r="69" spans="1:5" x14ac:dyDescent="0.25">
      <c r="A69" s="2" t="s">
        <v>258</v>
      </c>
      <c r="B69" s="23" t="s">
        <v>259</v>
      </c>
      <c r="C69" s="23"/>
      <c r="D69" s="23" t="s">
        <v>260</v>
      </c>
      <c r="E69" s="4" t="s">
        <v>2849</v>
      </c>
    </row>
    <row r="70" spans="1:5" x14ac:dyDescent="0.25">
      <c r="A70" s="2" t="s">
        <v>456</v>
      </c>
      <c r="B70" s="23" t="s">
        <v>2950</v>
      </c>
      <c r="C70" s="23" t="s">
        <v>455</v>
      </c>
      <c r="D70" s="23" t="s">
        <v>260</v>
      </c>
      <c r="E70" s="4" t="s">
        <v>2849</v>
      </c>
    </row>
    <row r="71" spans="1:5" x14ac:dyDescent="0.25">
      <c r="A71" s="2" t="s">
        <v>1591</v>
      </c>
      <c r="B71" s="23" t="s">
        <v>1592</v>
      </c>
      <c r="C71" s="23"/>
      <c r="D71" s="23" t="s">
        <v>274</v>
      </c>
      <c r="E71" s="4" t="s">
        <v>2849</v>
      </c>
    </row>
    <row r="72" spans="1:5" x14ac:dyDescent="0.25">
      <c r="A72" s="2" t="s">
        <v>2951</v>
      </c>
      <c r="B72" s="23" t="s">
        <v>2952</v>
      </c>
      <c r="C72" s="23"/>
      <c r="D72" s="23" t="s">
        <v>205</v>
      </c>
      <c r="E72" s="4" t="s">
        <v>2849</v>
      </c>
    </row>
    <row r="73" spans="1:5" x14ac:dyDescent="0.25">
      <c r="A73" s="2" t="s">
        <v>2953</v>
      </c>
      <c r="B73" s="23" t="s">
        <v>2954</v>
      </c>
      <c r="C73" s="23"/>
      <c r="D73" s="23" t="s">
        <v>260</v>
      </c>
      <c r="E73" s="4" t="s">
        <v>2849</v>
      </c>
    </row>
    <row r="74" spans="1:5" x14ac:dyDescent="0.25">
      <c r="A74" s="2" t="s">
        <v>2955</v>
      </c>
      <c r="B74" s="23" t="s">
        <v>2956</v>
      </c>
      <c r="C74" s="23"/>
      <c r="D74" s="23" t="s">
        <v>260</v>
      </c>
      <c r="E74" s="4" t="s">
        <v>2849</v>
      </c>
    </row>
    <row r="75" spans="1:5" x14ac:dyDescent="0.25">
      <c r="A75" s="2" t="s">
        <v>2957</v>
      </c>
      <c r="B75" s="23" t="s">
        <v>2958</v>
      </c>
      <c r="C75" s="23"/>
      <c r="D75" s="23" t="s">
        <v>260</v>
      </c>
      <c r="E75" s="4" t="s">
        <v>2849</v>
      </c>
    </row>
    <row r="76" spans="1:5" x14ac:dyDescent="0.25">
      <c r="A76" s="2" t="s">
        <v>2959</v>
      </c>
      <c r="B76" s="23" t="s">
        <v>2960</v>
      </c>
      <c r="C76" s="23"/>
      <c r="D76" s="23" t="s">
        <v>2848</v>
      </c>
      <c r="E76" s="4" t="s">
        <v>2849</v>
      </c>
    </row>
    <row r="77" spans="1:5" x14ac:dyDescent="0.25">
      <c r="A77" s="2" t="s">
        <v>2961</v>
      </c>
      <c r="B77" s="23" t="s">
        <v>2962</v>
      </c>
      <c r="C77" s="23"/>
      <c r="D77" s="23" t="s">
        <v>2848</v>
      </c>
      <c r="E77" s="4" t="s">
        <v>2849</v>
      </c>
    </row>
    <row r="78" spans="1:5" x14ac:dyDescent="0.25">
      <c r="A78" s="2" t="s">
        <v>2963</v>
      </c>
      <c r="B78" s="23" t="s">
        <v>2964</v>
      </c>
      <c r="C78" s="23"/>
      <c r="D78" s="23" t="s">
        <v>2848</v>
      </c>
      <c r="E78" s="4" t="s">
        <v>2849</v>
      </c>
    </row>
    <row r="79" spans="1:5" x14ac:dyDescent="0.25">
      <c r="A79" s="2" t="s">
        <v>2965</v>
      </c>
      <c r="B79" s="23" t="s">
        <v>2966</v>
      </c>
      <c r="C79" s="23"/>
      <c r="D79" s="23" t="s">
        <v>2848</v>
      </c>
      <c r="E79" s="4" t="s">
        <v>2849</v>
      </c>
    </row>
    <row r="80" spans="1:5" x14ac:dyDescent="0.25">
      <c r="A80" s="2" t="s">
        <v>139</v>
      </c>
      <c r="B80" s="23" t="s">
        <v>140</v>
      </c>
      <c r="C80" s="23"/>
      <c r="D80" s="23" t="s">
        <v>132</v>
      </c>
      <c r="E80" s="4" t="s">
        <v>2849</v>
      </c>
    </row>
    <row r="81" spans="1:5" x14ac:dyDescent="0.25">
      <c r="A81" s="2" t="s">
        <v>130</v>
      </c>
      <c r="B81" s="23" t="s">
        <v>131</v>
      </c>
      <c r="C81" s="23"/>
      <c r="D81" s="23" t="s">
        <v>132</v>
      </c>
      <c r="E81" s="4" t="s">
        <v>2849</v>
      </c>
    </row>
    <row r="82" spans="1:5" x14ac:dyDescent="0.25">
      <c r="A82" s="2" t="s">
        <v>2967</v>
      </c>
      <c r="B82" s="23" t="s">
        <v>2968</v>
      </c>
      <c r="C82" s="23"/>
      <c r="D82" s="23" t="s">
        <v>132</v>
      </c>
      <c r="E82" s="4" t="s">
        <v>2849</v>
      </c>
    </row>
    <row r="83" spans="1:5" x14ac:dyDescent="0.25">
      <c r="A83" s="2" t="s">
        <v>2969</v>
      </c>
      <c r="B83" s="23" t="s">
        <v>2970</v>
      </c>
      <c r="C83" s="23"/>
      <c r="D83" s="23" t="s">
        <v>132</v>
      </c>
      <c r="E83" s="4" t="s">
        <v>2849</v>
      </c>
    </row>
    <row r="84" spans="1:5" x14ac:dyDescent="0.25">
      <c r="A84" s="2" t="s">
        <v>2971</v>
      </c>
      <c r="B84" s="23" t="s">
        <v>2972</v>
      </c>
      <c r="C84" s="23"/>
      <c r="D84" s="23" t="s">
        <v>132</v>
      </c>
      <c r="E84" s="4" t="s">
        <v>2849</v>
      </c>
    </row>
    <row r="85" spans="1:5" x14ac:dyDescent="0.25">
      <c r="A85" s="2" t="s">
        <v>2973</v>
      </c>
      <c r="B85" s="23" t="s">
        <v>2974</v>
      </c>
      <c r="C85" s="23"/>
      <c r="D85" s="23" t="s">
        <v>132</v>
      </c>
      <c r="E85" s="4" t="s">
        <v>2849</v>
      </c>
    </row>
    <row r="86" spans="1:5" x14ac:dyDescent="0.25">
      <c r="A86" s="2" t="s">
        <v>2975</v>
      </c>
      <c r="B86" s="23" t="s">
        <v>2976</v>
      </c>
      <c r="C86" s="23"/>
      <c r="D86" s="23" t="s">
        <v>132</v>
      </c>
      <c r="E86" s="4" t="s">
        <v>2849</v>
      </c>
    </row>
    <row r="87" spans="1:5" x14ac:dyDescent="0.25">
      <c r="A87" s="2" t="s">
        <v>2977</v>
      </c>
      <c r="B87" s="23" t="s">
        <v>2978</v>
      </c>
      <c r="C87" s="23"/>
      <c r="D87" s="23" t="s">
        <v>132</v>
      </c>
      <c r="E87" s="4" t="s">
        <v>2849</v>
      </c>
    </row>
    <row r="88" spans="1:5" x14ac:dyDescent="0.25">
      <c r="A88" s="2" t="s">
        <v>2979</v>
      </c>
      <c r="B88" s="23" t="s">
        <v>2980</v>
      </c>
      <c r="C88" s="23"/>
      <c r="D88" s="23" t="s">
        <v>132</v>
      </c>
      <c r="E88" s="4" t="s">
        <v>2849</v>
      </c>
    </row>
    <row r="89" spans="1:5" x14ac:dyDescent="0.25">
      <c r="A89" s="2" t="s">
        <v>2981</v>
      </c>
      <c r="B89" s="23" t="s">
        <v>2982</v>
      </c>
      <c r="C89" s="23"/>
      <c r="D89" s="23" t="s">
        <v>132</v>
      </c>
      <c r="E89" s="4" t="s">
        <v>2849</v>
      </c>
    </row>
    <row r="90" spans="1:5" x14ac:dyDescent="0.25">
      <c r="A90" s="2" t="s">
        <v>2983</v>
      </c>
      <c r="B90" s="23" t="s">
        <v>2984</v>
      </c>
      <c r="C90" s="23"/>
      <c r="D90" s="23" t="s">
        <v>132</v>
      </c>
      <c r="E90" s="4" t="s">
        <v>2849</v>
      </c>
    </row>
    <row r="91" spans="1:5" x14ac:dyDescent="0.25">
      <c r="A91" s="2" t="s">
        <v>2985</v>
      </c>
      <c r="B91" s="23" t="s">
        <v>2986</v>
      </c>
      <c r="C91" s="23"/>
      <c r="D91" s="23" t="s">
        <v>132</v>
      </c>
      <c r="E91" s="4" t="s">
        <v>2849</v>
      </c>
    </row>
    <row r="92" spans="1:5" x14ac:dyDescent="0.25">
      <c r="A92" s="2" t="s">
        <v>2987</v>
      </c>
      <c r="B92" s="23" t="s">
        <v>2988</v>
      </c>
      <c r="C92" s="23"/>
      <c r="D92" s="23" t="s">
        <v>132</v>
      </c>
      <c r="E92" s="4" t="s">
        <v>2849</v>
      </c>
    </row>
    <row r="93" spans="1:5" x14ac:dyDescent="0.25">
      <c r="A93" s="2" t="s">
        <v>2989</v>
      </c>
      <c r="B93" s="23" t="s">
        <v>2990</v>
      </c>
      <c r="C93" s="23"/>
      <c r="D93" s="23" t="s">
        <v>2848</v>
      </c>
      <c r="E93" s="4" t="s">
        <v>2849</v>
      </c>
    </row>
    <row r="94" spans="1:5" x14ac:dyDescent="0.25">
      <c r="A94" s="2" t="s">
        <v>2991</v>
      </c>
      <c r="B94" s="23" t="s">
        <v>2992</v>
      </c>
      <c r="C94" s="23"/>
      <c r="D94" s="23" t="s">
        <v>132</v>
      </c>
      <c r="E94" s="4" t="s">
        <v>2849</v>
      </c>
    </row>
    <row r="95" spans="1:5" x14ac:dyDescent="0.25">
      <c r="A95" s="2" t="s">
        <v>2993</v>
      </c>
      <c r="B95" s="23" t="s">
        <v>2994</v>
      </c>
      <c r="C95" s="23"/>
      <c r="D95" s="23" t="s">
        <v>2848</v>
      </c>
      <c r="E95" s="4" t="s">
        <v>2849</v>
      </c>
    </row>
    <row r="96" spans="1:5" x14ac:dyDescent="0.25">
      <c r="A96" s="2" t="s">
        <v>2995</v>
      </c>
      <c r="B96" s="23" t="s">
        <v>2996</v>
      </c>
      <c r="C96" s="23"/>
      <c r="D96" s="23" t="s">
        <v>132</v>
      </c>
      <c r="E96" s="4" t="s">
        <v>2849</v>
      </c>
    </row>
    <row r="97" spans="1:5" x14ac:dyDescent="0.25">
      <c r="A97" s="2" t="s">
        <v>2997</v>
      </c>
      <c r="B97" s="23" t="s">
        <v>2998</v>
      </c>
      <c r="C97" s="23"/>
      <c r="D97" s="23" t="s">
        <v>132</v>
      </c>
      <c r="E97" s="4" t="s">
        <v>2849</v>
      </c>
    </row>
    <row r="98" spans="1:5" x14ac:dyDescent="0.25">
      <c r="A98" s="2" t="s">
        <v>2999</v>
      </c>
      <c r="B98" s="23" t="s">
        <v>3000</v>
      </c>
      <c r="C98" s="23"/>
      <c r="D98" s="23" t="s">
        <v>274</v>
      </c>
      <c r="E98" s="4" t="s">
        <v>2849</v>
      </c>
    </row>
    <row r="99" spans="1:5" x14ac:dyDescent="0.25">
      <c r="A99" s="2" t="s">
        <v>3001</v>
      </c>
      <c r="B99" s="23" t="s">
        <v>3002</v>
      </c>
      <c r="C99" s="23"/>
      <c r="D99" s="23" t="s">
        <v>274</v>
      </c>
      <c r="E99" s="4" t="s">
        <v>2849</v>
      </c>
    </row>
    <row r="100" spans="1:5" x14ac:dyDescent="0.25">
      <c r="A100" s="2" t="s">
        <v>626</v>
      </c>
      <c r="B100" s="23"/>
      <c r="C100" s="23" t="s">
        <v>627</v>
      </c>
      <c r="D100" s="23" t="s">
        <v>41</v>
      </c>
      <c r="E100" s="4" t="s">
        <v>2882</v>
      </c>
    </row>
    <row r="101" spans="1:5" x14ac:dyDescent="0.25">
      <c r="A101" s="2" t="s">
        <v>122</v>
      </c>
      <c r="B101" s="23" t="s">
        <v>3003</v>
      </c>
      <c r="C101" s="23" t="s">
        <v>647</v>
      </c>
      <c r="D101" s="23" t="s">
        <v>94</v>
      </c>
      <c r="E101" s="4" t="s">
        <v>2849</v>
      </c>
    </row>
    <row r="102" spans="1:5" x14ac:dyDescent="0.25">
      <c r="A102" s="2" t="s">
        <v>327</v>
      </c>
      <c r="B102" s="23" t="s">
        <v>3004</v>
      </c>
      <c r="C102" s="23" t="s">
        <v>328</v>
      </c>
      <c r="D102" s="23" t="s">
        <v>205</v>
      </c>
      <c r="E102" s="4" t="s">
        <v>2849</v>
      </c>
    </row>
    <row r="103" spans="1:5" x14ac:dyDescent="0.25">
      <c r="A103" s="2" t="s">
        <v>3005</v>
      </c>
      <c r="B103" s="23" t="s">
        <v>3006</v>
      </c>
      <c r="C103" s="23"/>
      <c r="D103" s="23" t="s">
        <v>205</v>
      </c>
      <c r="E103" s="4" t="s">
        <v>2849</v>
      </c>
    </row>
    <row r="104" spans="1:5" x14ac:dyDescent="0.25">
      <c r="A104" s="2" t="s">
        <v>55</v>
      </c>
      <c r="B104" s="23" t="s">
        <v>3007</v>
      </c>
      <c r="C104" s="23" t="s">
        <v>60</v>
      </c>
      <c r="D104" s="23" t="s">
        <v>19</v>
      </c>
      <c r="E104" s="4" t="s">
        <v>2849</v>
      </c>
    </row>
    <row r="105" spans="1:5" x14ac:dyDescent="0.25">
      <c r="A105" s="2" t="s">
        <v>42</v>
      </c>
      <c r="B105" s="23" t="s">
        <v>3008</v>
      </c>
      <c r="C105" s="23" t="s">
        <v>1689</v>
      </c>
      <c r="D105" s="23" t="s">
        <v>19</v>
      </c>
      <c r="E105" s="4" t="s">
        <v>2849</v>
      </c>
    </row>
    <row r="106" spans="1:5" x14ac:dyDescent="0.25">
      <c r="A106" s="2" t="s">
        <v>69</v>
      </c>
      <c r="B106" s="23" t="s">
        <v>70</v>
      </c>
      <c r="C106" s="23"/>
      <c r="D106" s="23" t="s">
        <v>19</v>
      </c>
      <c r="E106" s="4" t="s">
        <v>2849</v>
      </c>
    </row>
    <row r="107" spans="1:5" x14ac:dyDescent="0.25">
      <c r="A107" s="2" t="s">
        <v>3009</v>
      </c>
      <c r="B107" s="23" t="s">
        <v>3010</v>
      </c>
      <c r="C107" s="23"/>
      <c r="D107" s="23" t="s">
        <v>19</v>
      </c>
      <c r="E107" s="4" t="s">
        <v>2849</v>
      </c>
    </row>
    <row r="108" spans="1:5" x14ac:dyDescent="0.25">
      <c r="A108" s="2" t="s">
        <v>3011</v>
      </c>
      <c r="B108" s="23" t="s">
        <v>3012</v>
      </c>
      <c r="C108" s="23"/>
      <c r="D108" s="23" t="s">
        <v>19</v>
      </c>
      <c r="E108" s="4" t="s">
        <v>2849</v>
      </c>
    </row>
    <row r="109" spans="1:5" x14ac:dyDescent="0.25">
      <c r="A109" s="2" t="s">
        <v>78</v>
      </c>
      <c r="B109" s="23" t="s">
        <v>3013</v>
      </c>
      <c r="C109" s="23" t="s">
        <v>77</v>
      </c>
      <c r="D109" s="23" t="s">
        <v>19</v>
      </c>
      <c r="E109" s="4" t="s">
        <v>2849</v>
      </c>
    </row>
    <row r="110" spans="1:5" x14ac:dyDescent="0.25">
      <c r="A110" s="2" t="s">
        <v>3014</v>
      </c>
      <c r="B110" s="23" t="s">
        <v>3015</v>
      </c>
      <c r="C110" s="23"/>
      <c r="D110" s="23" t="s">
        <v>19</v>
      </c>
      <c r="E110" s="4" t="s">
        <v>2849</v>
      </c>
    </row>
    <row r="111" spans="1:5" x14ac:dyDescent="0.25">
      <c r="A111" s="2" t="s">
        <v>3016</v>
      </c>
      <c r="B111" s="23" t="s">
        <v>3017</v>
      </c>
      <c r="C111" s="23"/>
      <c r="D111" s="23" t="s">
        <v>19</v>
      </c>
      <c r="E111" s="4" t="s">
        <v>2849</v>
      </c>
    </row>
    <row r="112" spans="1:5" x14ac:dyDescent="0.25">
      <c r="A112" s="2" t="s">
        <v>3018</v>
      </c>
      <c r="B112" s="23" t="s">
        <v>3019</v>
      </c>
      <c r="C112" s="23"/>
      <c r="D112" s="23" t="s">
        <v>23</v>
      </c>
      <c r="E112" s="4" t="s">
        <v>2849</v>
      </c>
    </row>
    <row r="113" spans="1:5" x14ac:dyDescent="0.25">
      <c r="A113" s="2" t="s">
        <v>84</v>
      </c>
      <c r="B113" s="23" t="s">
        <v>3020</v>
      </c>
      <c r="C113" s="23" t="s">
        <v>85</v>
      </c>
      <c r="D113" s="23" t="s">
        <v>19</v>
      </c>
      <c r="E113" s="4" t="s">
        <v>2849</v>
      </c>
    </row>
    <row r="114" spans="1:5" x14ac:dyDescent="0.25">
      <c r="A114" s="2" t="s">
        <v>3021</v>
      </c>
      <c r="B114" s="23" t="s">
        <v>3022</v>
      </c>
      <c r="C114" s="23"/>
      <c r="D114" s="23" t="s">
        <v>19</v>
      </c>
      <c r="E114" s="4" t="s">
        <v>2849</v>
      </c>
    </row>
    <row r="115" spans="1:5" x14ac:dyDescent="0.25">
      <c r="A115" s="2" t="s">
        <v>3023</v>
      </c>
      <c r="B115" s="23" t="s">
        <v>3024</v>
      </c>
      <c r="C115" s="23"/>
      <c r="D115" s="23" t="s">
        <v>19</v>
      </c>
      <c r="E115" s="4" t="s">
        <v>2849</v>
      </c>
    </row>
    <row r="116" spans="1:5" x14ac:dyDescent="0.25">
      <c r="A116" s="2" t="s">
        <v>29</v>
      </c>
      <c r="B116" s="23" t="s">
        <v>3025</v>
      </c>
      <c r="C116" s="23" t="s">
        <v>30</v>
      </c>
      <c r="D116" s="23" t="s">
        <v>19</v>
      </c>
      <c r="E116" s="4" t="s">
        <v>2849</v>
      </c>
    </row>
    <row r="117" spans="1:5" x14ac:dyDescent="0.25">
      <c r="A117" s="2" t="s">
        <v>3026</v>
      </c>
      <c r="B117" s="23" t="s">
        <v>3027</v>
      </c>
      <c r="C117" s="23"/>
      <c r="D117" s="23" t="s">
        <v>19</v>
      </c>
      <c r="E117" s="4" t="s">
        <v>2849</v>
      </c>
    </row>
    <row r="118" spans="1:5" x14ac:dyDescent="0.25">
      <c r="A118" s="2" t="s">
        <v>3028</v>
      </c>
      <c r="B118" s="23" t="s">
        <v>3029</v>
      </c>
      <c r="C118" s="23"/>
      <c r="D118" s="23" t="s">
        <v>2848</v>
      </c>
      <c r="E118" s="4" t="s">
        <v>2849</v>
      </c>
    </row>
    <row r="119" spans="1:5" x14ac:dyDescent="0.25">
      <c r="A119" s="2" t="s">
        <v>3030</v>
      </c>
      <c r="B119" s="23" t="s">
        <v>3031</v>
      </c>
      <c r="C119" s="23"/>
      <c r="D119" s="23" t="s">
        <v>2848</v>
      </c>
      <c r="E119" s="4" t="s">
        <v>2849</v>
      </c>
    </row>
    <row r="120" spans="1:5" x14ac:dyDescent="0.25">
      <c r="A120" s="2" t="s">
        <v>3032</v>
      </c>
      <c r="B120" s="23" t="s">
        <v>3033</v>
      </c>
      <c r="C120" s="23"/>
      <c r="D120" s="23" t="s">
        <v>2848</v>
      </c>
      <c r="E120" s="4" t="s">
        <v>2849</v>
      </c>
    </row>
    <row r="121" spans="1:5" x14ac:dyDescent="0.25">
      <c r="A121" s="2" t="s">
        <v>16</v>
      </c>
      <c r="B121" s="23" t="s">
        <v>3034</v>
      </c>
      <c r="C121" s="23" t="s">
        <v>17</v>
      </c>
      <c r="D121" s="23" t="s">
        <v>19</v>
      </c>
      <c r="E121" s="4" t="s">
        <v>2849</v>
      </c>
    </row>
    <row r="122" spans="1:5" x14ac:dyDescent="0.25">
      <c r="A122" s="2" t="s">
        <v>3035</v>
      </c>
      <c r="B122" s="23" t="s">
        <v>3036</v>
      </c>
      <c r="C122" s="23"/>
      <c r="D122" s="23" t="s">
        <v>2848</v>
      </c>
      <c r="E122" s="4" t="s">
        <v>2849</v>
      </c>
    </row>
    <row r="123" spans="1:5" x14ac:dyDescent="0.25">
      <c r="A123" s="2" t="s">
        <v>3037</v>
      </c>
      <c r="B123" s="23" t="s">
        <v>3038</v>
      </c>
      <c r="C123" s="23"/>
      <c r="D123" s="23" t="s">
        <v>2848</v>
      </c>
      <c r="E123" s="4" t="s">
        <v>2849</v>
      </c>
    </row>
    <row r="124" spans="1:5" x14ac:dyDescent="0.25">
      <c r="A124" s="2" t="s">
        <v>3039</v>
      </c>
      <c r="B124" s="23" t="s">
        <v>3040</v>
      </c>
      <c r="C124" s="23"/>
      <c r="D124" s="23" t="s">
        <v>2848</v>
      </c>
      <c r="E124" s="4" t="s">
        <v>2849</v>
      </c>
    </row>
    <row r="125" spans="1:5" x14ac:dyDescent="0.25">
      <c r="A125" s="2" t="s">
        <v>3041</v>
      </c>
      <c r="B125" s="23" t="s">
        <v>3042</v>
      </c>
      <c r="C125" s="23"/>
      <c r="D125" s="23" t="s">
        <v>2848</v>
      </c>
      <c r="E125" s="4" t="s">
        <v>2849</v>
      </c>
    </row>
    <row r="126" spans="1:5" x14ac:dyDescent="0.25">
      <c r="A126" s="2" t="s">
        <v>3043</v>
      </c>
      <c r="B126" s="23" t="s">
        <v>3044</v>
      </c>
      <c r="C126" s="23"/>
      <c r="D126" s="23" t="s">
        <v>2848</v>
      </c>
      <c r="E126" s="4" t="s">
        <v>2849</v>
      </c>
    </row>
    <row r="127" spans="1:5" x14ac:dyDescent="0.25">
      <c r="A127" s="2" t="s">
        <v>3045</v>
      </c>
      <c r="B127" s="23" t="s">
        <v>3046</v>
      </c>
      <c r="C127" s="23"/>
      <c r="D127" s="23" t="s">
        <v>2848</v>
      </c>
      <c r="E127" s="4" t="s">
        <v>2849</v>
      </c>
    </row>
    <row r="128" spans="1:5" x14ac:dyDescent="0.25">
      <c r="A128" s="2" t="s">
        <v>3047</v>
      </c>
      <c r="B128" s="23" t="s">
        <v>3048</v>
      </c>
      <c r="C128" s="23"/>
      <c r="D128" s="23" t="s">
        <v>2848</v>
      </c>
      <c r="E128" s="4" t="s">
        <v>2849</v>
      </c>
    </row>
    <row r="129" spans="1:5" x14ac:dyDescent="0.25">
      <c r="A129" s="2" t="s">
        <v>3049</v>
      </c>
      <c r="B129" s="23" t="s">
        <v>3050</v>
      </c>
      <c r="C129" s="23"/>
      <c r="D129" s="23" t="s">
        <v>2848</v>
      </c>
      <c r="E129" s="4" t="s">
        <v>2849</v>
      </c>
    </row>
    <row r="130" spans="1:5" x14ac:dyDescent="0.25">
      <c r="A130" s="2" t="s">
        <v>47</v>
      </c>
      <c r="B130" s="23" t="s">
        <v>3051</v>
      </c>
      <c r="C130" s="23" t="s">
        <v>48</v>
      </c>
      <c r="D130" s="23" t="s">
        <v>50</v>
      </c>
      <c r="E130" s="4" t="s">
        <v>2849</v>
      </c>
    </row>
    <row r="131" spans="1:5" x14ac:dyDescent="0.25">
      <c r="A131" s="2" t="s">
        <v>3052</v>
      </c>
      <c r="B131" s="23" t="s">
        <v>3053</v>
      </c>
      <c r="C131" s="23"/>
      <c r="D131" s="23" t="s">
        <v>50</v>
      </c>
      <c r="E131" s="4" t="s">
        <v>2849</v>
      </c>
    </row>
    <row r="132" spans="1:5" x14ac:dyDescent="0.25">
      <c r="A132" s="2" t="s">
        <v>3054</v>
      </c>
      <c r="B132" s="23" t="s">
        <v>3055</v>
      </c>
      <c r="C132" s="23"/>
      <c r="D132" s="23" t="s">
        <v>50</v>
      </c>
      <c r="E132" s="4" t="s">
        <v>2849</v>
      </c>
    </row>
    <row r="133" spans="1:5" x14ac:dyDescent="0.25">
      <c r="A133" s="2" t="s">
        <v>3056</v>
      </c>
      <c r="B133" s="23" t="s">
        <v>3057</v>
      </c>
      <c r="C133" s="23"/>
      <c r="D133" s="23" t="s">
        <v>50</v>
      </c>
      <c r="E133" s="4" t="s">
        <v>2849</v>
      </c>
    </row>
    <row r="134" spans="1:5" x14ac:dyDescent="0.25">
      <c r="A134" s="2" t="s">
        <v>3058</v>
      </c>
      <c r="B134" s="23" t="s">
        <v>3059</v>
      </c>
      <c r="C134" s="23"/>
      <c r="D134" s="23" t="s">
        <v>50</v>
      </c>
      <c r="E134" s="4" t="s">
        <v>2849</v>
      </c>
    </row>
    <row r="135" spans="1:5" x14ac:dyDescent="0.25">
      <c r="A135" s="2" t="s">
        <v>3060</v>
      </c>
      <c r="B135" s="23" t="s">
        <v>3061</v>
      </c>
      <c r="C135" s="23"/>
      <c r="D135" s="23" t="s">
        <v>50</v>
      </c>
      <c r="E135" s="4" t="s">
        <v>2849</v>
      </c>
    </row>
    <row r="136" spans="1:5" x14ac:dyDescent="0.25">
      <c r="A136" s="2" t="s">
        <v>3062</v>
      </c>
      <c r="B136" s="23" t="s">
        <v>3063</v>
      </c>
      <c r="C136" s="23"/>
      <c r="D136" s="23" t="s">
        <v>50</v>
      </c>
      <c r="E136" s="4" t="s">
        <v>2849</v>
      </c>
    </row>
    <row r="137" spans="1:5" x14ac:dyDescent="0.25">
      <c r="A137" s="2" t="s">
        <v>3064</v>
      </c>
      <c r="B137" s="23" t="s">
        <v>3065</v>
      </c>
      <c r="C137" s="23"/>
      <c r="D137" s="23" t="s">
        <v>50</v>
      </c>
      <c r="E137" s="4" t="s">
        <v>2849</v>
      </c>
    </row>
    <row r="138" spans="1:5" x14ac:dyDescent="0.25">
      <c r="A138" s="2" t="s">
        <v>3066</v>
      </c>
      <c r="B138" s="23" t="s">
        <v>3067</v>
      </c>
      <c r="C138" s="23"/>
      <c r="D138" s="23" t="s">
        <v>3068</v>
      </c>
      <c r="E138" s="4" t="s">
        <v>2849</v>
      </c>
    </row>
    <row r="139" spans="1:5" x14ac:dyDescent="0.25">
      <c r="A139" s="2" t="s">
        <v>127</v>
      </c>
      <c r="B139" s="23" t="s">
        <v>3069</v>
      </c>
      <c r="C139" s="23" t="s">
        <v>128</v>
      </c>
      <c r="D139" s="23" t="s">
        <v>50</v>
      </c>
      <c r="E139" s="4" t="s">
        <v>2849</v>
      </c>
    </row>
    <row r="140" spans="1:5" x14ac:dyDescent="0.25">
      <c r="A140" s="2" t="s">
        <v>3070</v>
      </c>
      <c r="B140" s="23" t="s">
        <v>3071</v>
      </c>
      <c r="C140" s="23"/>
      <c r="D140" s="23" t="s">
        <v>50</v>
      </c>
      <c r="E140" s="4" t="s">
        <v>2849</v>
      </c>
    </row>
    <row r="141" spans="1:5" x14ac:dyDescent="0.25">
      <c r="A141" s="2" t="s">
        <v>3072</v>
      </c>
      <c r="B141" s="23" t="s">
        <v>3073</v>
      </c>
      <c r="C141" s="23"/>
      <c r="D141" s="23" t="s">
        <v>2848</v>
      </c>
      <c r="E141" s="4" t="s">
        <v>2849</v>
      </c>
    </row>
    <row r="142" spans="1:5" x14ac:dyDescent="0.25">
      <c r="A142" s="2" t="s">
        <v>3074</v>
      </c>
      <c r="B142" s="23" t="s">
        <v>3075</v>
      </c>
      <c r="C142" s="23"/>
      <c r="D142" s="23" t="s">
        <v>2848</v>
      </c>
      <c r="E142" s="4" t="s">
        <v>2849</v>
      </c>
    </row>
    <row r="143" spans="1:5" x14ac:dyDescent="0.25">
      <c r="A143" s="2" t="s">
        <v>3076</v>
      </c>
      <c r="B143" s="23" t="s">
        <v>3077</v>
      </c>
      <c r="C143" s="23"/>
      <c r="D143" s="23" t="s">
        <v>2848</v>
      </c>
      <c r="E143" s="4" t="s">
        <v>2849</v>
      </c>
    </row>
    <row r="144" spans="1:5" x14ac:dyDescent="0.25">
      <c r="A144" s="2" t="s">
        <v>3078</v>
      </c>
      <c r="B144" s="23" t="s">
        <v>3079</v>
      </c>
      <c r="C144" s="23"/>
      <c r="D144" s="23" t="s">
        <v>2848</v>
      </c>
      <c r="E144" s="4" t="s">
        <v>2849</v>
      </c>
    </row>
    <row r="145" spans="1:5" x14ac:dyDescent="0.25">
      <c r="A145" s="2" t="s">
        <v>3080</v>
      </c>
      <c r="B145" s="23" t="s">
        <v>3081</v>
      </c>
      <c r="C145" s="23"/>
      <c r="D145" s="23" t="s">
        <v>2848</v>
      </c>
      <c r="E145" s="4" t="s">
        <v>2849</v>
      </c>
    </row>
    <row r="146" spans="1:5" x14ac:dyDescent="0.25">
      <c r="A146" s="2" t="s">
        <v>3082</v>
      </c>
      <c r="B146" s="23" t="s">
        <v>3083</v>
      </c>
      <c r="C146" s="23"/>
      <c r="D146" s="23" t="s">
        <v>2848</v>
      </c>
      <c r="E146" s="4" t="s">
        <v>2849</v>
      </c>
    </row>
    <row r="147" spans="1:5" x14ac:dyDescent="0.25">
      <c r="A147" s="2" t="s">
        <v>3084</v>
      </c>
      <c r="B147" s="23" t="s">
        <v>3085</v>
      </c>
      <c r="C147" s="23"/>
      <c r="D147" s="23" t="s">
        <v>2848</v>
      </c>
      <c r="E147" s="4" t="s">
        <v>2849</v>
      </c>
    </row>
    <row r="148" spans="1:5" x14ac:dyDescent="0.25">
      <c r="A148" s="2" t="s">
        <v>91</v>
      </c>
      <c r="B148" s="23" t="s">
        <v>3086</v>
      </c>
      <c r="C148" s="23" t="s">
        <v>2227</v>
      </c>
      <c r="D148" s="23" t="s">
        <v>94</v>
      </c>
      <c r="E148" s="4" t="s">
        <v>2849</v>
      </c>
    </row>
    <row r="149" spans="1:5" x14ac:dyDescent="0.25">
      <c r="A149" s="2" t="s">
        <v>106</v>
      </c>
      <c r="B149" s="23" t="s">
        <v>107</v>
      </c>
      <c r="C149" s="23"/>
      <c r="D149" s="23" t="s">
        <v>94</v>
      </c>
      <c r="E149" s="4" t="s">
        <v>2849</v>
      </c>
    </row>
    <row r="150" spans="1:5" x14ac:dyDescent="0.25">
      <c r="A150" s="2" t="s">
        <v>3087</v>
      </c>
      <c r="B150" s="23" t="s">
        <v>3088</v>
      </c>
      <c r="C150" s="23"/>
      <c r="D150" s="23" t="s">
        <v>2848</v>
      </c>
      <c r="E150" s="4" t="s">
        <v>2849</v>
      </c>
    </row>
    <row r="151" spans="1:5" x14ac:dyDescent="0.25">
      <c r="A151" s="2" t="s">
        <v>3089</v>
      </c>
      <c r="B151" s="23" t="s">
        <v>3090</v>
      </c>
      <c r="C151" s="23"/>
      <c r="D151" s="23" t="s">
        <v>2848</v>
      </c>
      <c r="E151" s="4" t="s">
        <v>2849</v>
      </c>
    </row>
    <row r="152" spans="1:5" x14ac:dyDescent="0.25">
      <c r="A152" s="2" t="s">
        <v>3091</v>
      </c>
      <c r="B152" s="23" t="s">
        <v>3092</v>
      </c>
      <c r="C152" s="23"/>
      <c r="D152" s="23" t="s">
        <v>2848</v>
      </c>
      <c r="E152" s="4" t="s">
        <v>2849</v>
      </c>
    </row>
    <row r="153" spans="1:5" x14ac:dyDescent="0.25">
      <c r="A153" s="2" t="s">
        <v>115</v>
      </c>
      <c r="B153" s="23"/>
      <c r="C153" s="23" t="s">
        <v>116</v>
      </c>
      <c r="D153" s="23" t="s">
        <v>41</v>
      </c>
      <c r="E153" s="4" t="s">
        <v>2882</v>
      </c>
    </row>
    <row r="154" spans="1:5" x14ac:dyDescent="0.25">
      <c r="A154" s="2" t="s">
        <v>387</v>
      </c>
      <c r="B154" s="23" t="s">
        <v>388</v>
      </c>
      <c r="C154" s="23"/>
      <c r="D154" s="23" t="s">
        <v>365</v>
      </c>
      <c r="E154" s="4" t="s">
        <v>2849</v>
      </c>
    </row>
    <row r="155" spans="1:5" x14ac:dyDescent="0.25">
      <c r="A155" s="2" t="s">
        <v>3093</v>
      </c>
      <c r="B155" s="23" t="s">
        <v>3094</v>
      </c>
      <c r="C155" s="23"/>
      <c r="D155" s="23" t="s">
        <v>23</v>
      </c>
      <c r="E155" s="4" t="s">
        <v>2849</v>
      </c>
    </row>
    <row r="156" spans="1:5" x14ac:dyDescent="0.25">
      <c r="A156" s="2" t="s">
        <v>21</v>
      </c>
      <c r="B156" s="23" t="s">
        <v>22</v>
      </c>
      <c r="C156" s="23"/>
      <c r="D156" s="23" t="s">
        <v>23</v>
      </c>
      <c r="E156" s="4" t="s">
        <v>2849</v>
      </c>
    </row>
    <row r="157" spans="1:5" x14ac:dyDescent="0.25">
      <c r="A157" s="2" t="s">
        <v>3095</v>
      </c>
      <c r="B157" s="23" t="s">
        <v>3096</v>
      </c>
      <c r="C157" s="23"/>
      <c r="D157" s="23" t="s">
        <v>23</v>
      </c>
      <c r="E157" s="4" t="s">
        <v>2849</v>
      </c>
    </row>
    <row r="158" spans="1:5" x14ac:dyDescent="0.25">
      <c r="A158" s="2" t="s">
        <v>3097</v>
      </c>
      <c r="B158" s="23" t="s">
        <v>3098</v>
      </c>
      <c r="C158" s="23"/>
      <c r="D158" s="23" t="s">
        <v>3068</v>
      </c>
      <c r="E158" s="4" t="s">
        <v>2849</v>
      </c>
    </row>
    <row r="159" spans="1:5" x14ac:dyDescent="0.25">
      <c r="A159" s="2" t="s">
        <v>3099</v>
      </c>
      <c r="B159" s="23" t="s">
        <v>3100</v>
      </c>
      <c r="C159" s="23"/>
      <c r="D159" s="23" t="s">
        <v>3068</v>
      </c>
      <c r="E159" s="4" t="s">
        <v>2849</v>
      </c>
    </row>
    <row r="160" spans="1:5" x14ac:dyDescent="0.25">
      <c r="A160" s="2" t="s">
        <v>3101</v>
      </c>
      <c r="B160" s="23" t="s">
        <v>3102</v>
      </c>
      <c r="C160" s="23"/>
      <c r="D160" s="23" t="s">
        <v>3068</v>
      </c>
      <c r="E160" s="4" t="s">
        <v>2849</v>
      </c>
    </row>
    <row r="161" spans="1:5" x14ac:dyDescent="0.25">
      <c r="A161" s="2" t="s">
        <v>656</v>
      </c>
      <c r="B161" s="23" t="s">
        <v>3103</v>
      </c>
      <c r="C161" s="23" t="s">
        <v>661</v>
      </c>
      <c r="D161" s="23" t="s">
        <v>290</v>
      </c>
      <c r="E161" s="4" t="s">
        <v>2849</v>
      </c>
    </row>
    <row r="162" spans="1:5" x14ac:dyDescent="0.25">
      <c r="A162" s="2" t="s">
        <v>3104</v>
      </c>
      <c r="B162" s="23" t="s">
        <v>3105</v>
      </c>
      <c r="C162" s="23"/>
      <c r="D162" s="23" t="s">
        <v>290</v>
      </c>
      <c r="E162" s="4" t="s">
        <v>2849</v>
      </c>
    </row>
    <row r="163" spans="1:5" x14ac:dyDescent="0.25">
      <c r="A163" s="2" t="s">
        <v>3106</v>
      </c>
      <c r="B163" s="23" t="s">
        <v>3107</v>
      </c>
      <c r="C163" s="23"/>
      <c r="D163" s="23" t="s">
        <v>290</v>
      </c>
      <c r="E163" s="4" t="s">
        <v>2849</v>
      </c>
    </row>
    <row r="164" spans="1:5" x14ac:dyDescent="0.25">
      <c r="A164" s="2" t="s">
        <v>3108</v>
      </c>
      <c r="B164" s="23" t="s">
        <v>3109</v>
      </c>
      <c r="C164" s="23"/>
      <c r="D164" s="23" t="s">
        <v>290</v>
      </c>
      <c r="E164" s="4" t="s">
        <v>2849</v>
      </c>
    </row>
    <row r="165" spans="1:5" x14ac:dyDescent="0.25">
      <c r="A165" s="2" t="s">
        <v>662</v>
      </c>
      <c r="B165" s="23" t="s">
        <v>663</v>
      </c>
      <c r="C165" s="23"/>
      <c r="D165" s="23" t="s">
        <v>290</v>
      </c>
      <c r="E165" s="4" t="s">
        <v>2849</v>
      </c>
    </row>
    <row r="166" spans="1:5" x14ac:dyDescent="0.25">
      <c r="A166" s="2" t="s">
        <v>2094</v>
      </c>
      <c r="B166" s="23" t="s">
        <v>2095</v>
      </c>
      <c r="C166" s="23"/>
      <c r="D166" s="23" t="s">
        <v>274</v>
      </c>
      <c r="E166" s="4" t="s">
        <v>2849</v>
      </c>
    </row>
    <row r="167" spans="1:5" x14ac:dyDescent="0.25">
      <c r="A167" s="2" t="s">
        <v>3110</v>
      </c>
      <c r="B167" s="23" t="s">
        <v>3111</v>
      </c>
      <c r="C167" s="23"/>
      <c r="D167" s="23" t="s">
        <v>290</v>
      </c>
      <c r="E167" s="4" t="s">
        <v>2849</v>
      </c>
    </row>
    <row r="168" spans="1:5" x14ac:dyDescent="0.25">
      <c r="A168" s="2" t="s">
        <v>677</v>
      </c>
      <c r="B168" s="23" t="s">
        <v>678</v>
      </c>
      <c r="C168" s="23"/>
      <c r="D168" s="23" t="s">
        <v>2848</v>
      </c>
      <c r="E168" s="4" t="s">
        <v>2849</v>
      </c>
    </row>
    <row r="169" spans="1:5" x14ac:dyDescent="0.25">
      <c r="A169" s="2" t="s">
        <v>3112</v>
      </c>
      <c r="B169" s="23" t="s">
        <v>3113</v>
      </c>
      <c r="C169" s="23"/>
      <c r="D169" s="23" t="s">
        <v>2848</v>
      </c>
      <c r="E169" s="4" t="s">
        <v>2849</v>
      </c>
    </row>
    <row r="170" spans="1:5" x14ac:dyDescent="0.25">
      <c r="A170" s="2" t="s">
        <v>3114</v>
      </c>
      <c r="B170" s="23" t="s">
        <v>3115</v>
      </c>
      <c r="C170" s="23"/>
      <c r="D170" s="23" t="s">
        <v>2848</v>
      </c>
      <c r="E170" s="4" t="s">
        <v>2849</v>
      </c>
    </row>
    <row r="171" spans="1:5" x14ac:dyDescent="0.25">
      <c r="A171" s="2" t="s">
        <v>3116</v>
      </c>
      <c r="B171" s="23" t="s">
        <v>3117</v>
      </c>
      <c r="C171" s="23"/>
      <c r="D171" s="23" t="s">
        <v>274</v>
      </c>
      <c r="E171" s="4" t="s">
        <v>2849</v>
      </c>
    </row>
    <row r="172" spans="1:5" x14ac:dyDescent="0.25">
      <c r="A172" s="2" t="s">
        <v>3118</v>
      </c>
      <c r="B172" s="23" t="s">
        <v>3119</v>
      </c>
      <c r="C172" s="23"/>
      <c r="D172" s="23" t="s">
        <v>274</v>
      </c>
      <c r="E172" s="4" t="s">
        <v>2849</v>
      </c>
    </row>
    <row r="173" spans="1:5" x14ac:dyDescent="0.25">
      <c r="A173" s="2" t="s">
        <v>3120</v>
      </c>
      <c r="B173" s="23" t="s">
        <v>3121</v>
      </c>
      <c r="C173" s="23"/>
      <c r="D173" s="23" t="s">
        <v>274</v>
      </c>
      <c r="E173" s="4" t="s">
        <v>2849</v>
      </c>
    </row>
    <row r="174" spans="1:5" x14ac:dyDescent="0.25">
      <c r="A174" s="2" t="s">
        <v>3122</v>
      </c>
      <c r="B174" s="23" t="s">
        <v>3123</v>
      </c>
      <c r="C174" s="23"/>
      <c r="D174" s="23" t="s">
        <v>274</v>
      </c>
      <c r="E174" s="4" t="s">
        <v>2849</v>
      </c>
    </row>
    <row r="175" spans="1:5" x14ac:dyDescent="0.25">
      <c r="A175" s="2" t="s">
        <v>3124</v>
      </c>
      <c r="B175" s="23" t="s">
        <v>3125</v>
      </c>
      <c r="C175" s="23"/>
      <c r="D175" s="23" t="s">
        <v>2848</v>
      </c>
      <c r="E175" s="4" t="s">
        <v>2849</v>
      </c>
    </row>
    <row r="176" spans="1:5" x14ac:dyDescent="0.25">
      <c r="A176" s="2" t="s">
        <v>3126</v>
      </c>
      <c r="B176" s="23" t="s">
        <v>3127</v>
      </c>
      <c r="C176" s="23"/>
      <c r="D176" s="23" t="s">
        <v>274</v>
      </c>
      <c r="E176" s="4" t="s">
        <v>2849</v>
      </c>
    </row>
    <row r="177" spans="1:5" x14ac:dyDescent="0.25">
      <c r="A177" s="2" t="s">
        <v>3128</v>
      </c>
      <c r="B177" s="23" t="s">
        <v>3129</v>
      </c>
      <c r="C177" s="23"/>
      <c r="D177" s="23" t="s">
        <v>274</v>
      </c>
      <c r="E177" s="4" t="s">
        <v>2849</v>
      </c>
    </row>
    <row r="178" spans="1:5" x14ac:dyDescent="0.25">
      <c r="A178" s="2" t="s">
        <v>3130</v>
      </c>
      <c r="B178" s="23" t="s">
        <v>3131</v>
      </c>
      <c r="C178" s="23"/>
      <c r="D178" s="23" t="s">
        <v>274</v>
      </c>
      <c r="E178" s="4" t="s">
        <v>2849</v>
      </c>
    </row>
    <row r="179" spans="1:5" x14ac:dyDescent="0.25">
      <c r="A179" s="2" t="s">
        <v>3132</v>
      </c>
      <c r="B179" s="23" t="s">
        <v>3133</v>
      </c>
      <c r="C179" s="23"/>
      <c r="D179" s="23" t="s">
        <v>274</v>
      </c>
      <c r="E179" s="4" t="s">
        <v>2849</v>
      </c>
    </row>
    <row r="180" spans="1:5" x14ac:dyDescent="0.25">
      <c r="A180" s="2" t="s">
        <v>689</v>
      </c>
      <c r="B180" s="23" t="s">
        <v>3134</v>
      </c>
      <c r="C180" s="23" t="s">
        <v>690</v>
      </c>
      <c r="D180" s="23" t="s">
        <v>290</v>
      </c>
      <c r="E180" s="4" t="s">
        <v>2849</v>
      </c>
    </row>
    <row r="181" spans="1:5" x14ac:dyDescent="0.25">
      <c r="A181" s="2" t="s">
        <v>3135</v>
      </c>
      <c r="B181" s="23" t="s">
        <v>3136</v>
      </c>
      <c r="C181" s="23"/>
      <c r="D181" s="23" t="s">
        <v>290</v>
      </c>
      <c r="E181" s="4" t="s">
        <v>2849</v>
      </c>
    </row>
    <row r="182" spans="1:5" x14ac:dyDescent="0.25">
      <c r="A182" s="2" t="s">
        <v>3137</v>
      </c>
      <c r="B182" s="23" t="s">
        <v>3138</v>
      </c>
      <c r="C182" s="23"/>
      <c r="D182" s="23" t="s">
        <v>290</v>
      </c>
      <c r="E182" s="4" t="s">
        <v>2849</v>
      </c>
    </row>
    <row r="183" spans="1:5" x14ac:dyDescent="0.25">
      <c r="A183" s="2" t="s">
        <v>3139</v>
      </c>
      <c r="B183" s="23" t="s">
        <v>3140</v>
      </c>
      <c r="C183" s="23"/>
      <c r="D183" s="23" t="s">
        <v>290</v>
      </c>
      <c r="E183" s="4" t="s">
        <v>2849</v>
      </c>
    </row>
    <row r="184" spans="1:5" x14ac:dyDescent="0.25">
      <c r="A184" s="2" t="s">
        <v>3141</v>
      </c>
      <c r="B184" s="23" t="s">
        <v>3142</v>
      </c>
      <c r="C184" s="23"/>
      <c r="D184" s="23" t="s">
        <v>290</v>
      </c>
      <c r="E184" s="4" t="s">
        <v>2849</v>
      </c>
    </row>
    <row r="185" spans="1:5" x14ac:dyDescent="0.25">
      <c r="A185" s="2" t="s">
        <v>275</v>
      </c>
      <c r="B185" s="23" t="s">
        <v>276</v>
      </c>
      <c r="C185" s="23"/>
      <c r="D185" s="23" t="s">
        <v>274</v>
      </c>
      <c r="E185" s="4" t="s">
        <v>2849</v>
      </c>
    </row>
    <row r="186" spans="1:5" x14ac:dyDescent="0.25">
      <c r="A186" s="2" t="s">
        <v>3143</v>
      </c>
      <c r="B186" s="23" t="s">
        <v>3144</v>
      </c>
      <c r="C186" s="23"/>
      <c r="D186" s="23" t="s">
        <v>274</v>
      </c>
      <c r="E186" s="4" t="s">
        <v>2849</v>
      </c>
    </row>
    <row r="187" spans="1:5" x14ac:dyDescent="0.25">
      <c r="A187" s="2" t="s">
        <v>3145</v>
      </c>
      <c r="B187" s="23" t="s">
        <v>3146</v>
      </c>
      <c r="C187" s="23"/>
      <c r="D187" s="23" t="s">
        <v>274</v>
      </c>
      <c r="E187" s="4" t="s">
        <v>2849</v>
      </c>
    </row>
    <row r="188" spans="1:5" x14ac:dyDescent="0.25">
      <c r="A188" s="2" t="s">
        <v>3147</v>
      </c>
      <c r="B188" s="23" t="s">
        <v>3148</v>
      </c>
      <c r="C188" s="23"/>
      <c r="D188" s="23" t="s">
        <v>274</v>
      </c>
      <c r="E188" s="4" t="s">
        <v>2849</v>
      </c>
    </row>
    <row r="189" spans="1:5" x14ac:dyDescent="0.25">
      <c r="A189" s="2" t="s">
        <v>2113</v>
      </c>
      <c r="B189" s="23" t="s">
        <v>2114</v>
      </c>
      <c r="C189" s="23"/>
      <c r="D189" s="23" t="s">
        <v>274</v>
      </c>
      <c r="E189" s="4" t="s">
        <v>2849</v>
      </c>
    </row>
    <row r="190" spans="1:5" x14ac:dyDescent="0.25">
      <c r="A190" s="2" t="s">
        <v>3149</v>
      </c>
      <c r="B190" s="23" t="s">
        <v>3150</v>
      </c>
      <c r="C190" s="23"/>
      <c r="D190" s="23" t="s">
        <v>2848</v>
      </c>
      <c r="E190" s="4" t="s">
        <v>2849</v>
      </c>
    </row>
    <row r="191" spans="1:5" x14ac:dyDescent="0.25">
      <c r="A191" s="2" t="s">
        <v>3151</v>
      </c>
      <c r="B191" s="23" t="s">
        <v>3152</v>
      </c>
      <c r="C191" s="23"/>
      <c r="D191" s="23" t="s">
        <v>2848</v>
      </c>
      <c r="E191" s="4" t="s">
        <v>2849</v>
      </c>
    </row>
    <row r="192" spans="1:5" x14ac:dyDescent="0.25">
      <c r="A192" s="2" t="s">
        <v>683</v>
      </c>
      <c r="B192" s="23"/>
      <c r="C192" s="23" t="s">
        <v>684</v>
      </c>
      <c r="D192" s="23" t="s">
        <v>41</v>
      </c>
      <c r="E192" s="4" t="s">
        <v>2882</v>
      </c>
    </row>
    <row r="193" spans="1:5" x14ac:dyDescent="0.25">
      <c r="A193" s="2" t="s">
        <v>575</v>
      </c>
      <c r="B193" s="23" t="s">
        <v>3153</v>
      </c>
      <c r="C193" s="23" t="s">
        <v>576</v>
      </c>
      <c r="D193" s="23" t="s">
        <v>274</v>
      </c>
      <c r="E193" s="4" t="s">
        <v>2849</v>
      </c>
    </row>
    <row r="194" spans="1:5" x14ac:dyDescent="0.25">
      <c r="A194" s="2" t="s">
        <v>2039</v>
      </c>
      <c r="B194" s="23"/>
      <c r="C194" s="23" t="s">
        <v>2040</v>
      </c>
      <c r="D194" s="23" t="s">
        <v>41</v>
      </c>
      <c r="E194" s="4" t="s">
        <v>2882</v>
      </c>
    </row>
    <row r="195" spans="1:5" x14ac:dyDescent="0.25">
      <c r="A195" s="2" t="s">
        <v>560</v>
      </c>
      <c r="B195" s="23"/>
      <c r="C195" s="23" t="s">
        <v>561</v>
      </c>
      <c r="D195" s="23" t="s">
        <v>41</v>
      </c>
      <c r="E195" s="4" t="s">
        <v>2882</v>
      </c>
    </row>
    <row r="196" spans="1:5" x14ac:dyDescent="0.25">
      <c r="A196" s="2" t="s">
        <v>712</v>
      </c>
      <c r="B196" s="23" t="s">
        <v>713</v>
      </c>
      <c r="C196" s="23"/>
      <c r="D196" s="23" t="s">
        <v>274</v>
      </c>
      <c r="E196" s="4" t="s">
        <v>2849</v>
      </c>
    </row>
    <row r="197" spans="1:5" x14ac:dyDescent="0.25">
      <c r="A197" s="2" t="s">
        <v>721</v>
      </c>
      <c r="B197" s="23" t="s">
        <v>722</v>
      </c>
      <c r="C197" s="23"/>
      <c r="D197" s="23" t="s">
        <v>274</v>
      </c>
      <c r="E197" s="4" t="s">
        <v>2849</v>
      </c>
    </row>
    <row r="198" spans="1:5" x14ac:dyDescent="0.25">
      <c r="A198" s="2" t="s">
        <v>3154</v>
      </c>
      <c r="B198" s="23" t="s">
        <v>3155</v>
      </c>
      <c r="C198" s="23"/>
      <c r="D198" s="23" t="s">
        <v>274</v>
      </c>
      <c r="E198" s="4" t="s">
        <v>2849</v>
      </c>
    </row>
    <row r="199" spans="1:5" x14ac:dyDescent="0.25">
      <c r="A199" s="2" t="s">
        <v>3156</v>
      </c>
      <c r="B199" s="23" t="s">
        <v>3157</v>
      </c>
      <c r="C199" s="23"/>
      <c r="D199" s="23" t="s">
        <v>274</v>
      </c>
      <c r="E199" s="4" t="s">
        <v>2849</v>
      </c>
    </row>
    <row r="200" spans="1:5" x14ac:dyDescent="0.25">
      <c r="A200" s="2" t="s">
        <v>272</v>
      </c>
      <c r="B200" s="23" t="s">
        <v>3158</v>
      </c>
      <c r="C200" s="23" t="s">
        <v>273</v>
      </c>
      <c r="D200" s="23" t="s">
        <v>274</v>
      </c>
      <c r="E200" s="4" t="s">
        <v>2849</v>
      </c>
    </row>
    <row r="201" spans="1:5" x14ac:dyDescent="0.25">
      <c r="A201" s="2" t="s">
        <v>2153</v>
      </c>
      <c r="B201" s="23"/>
      <c r="C201" s="23" t="s">
        <v>2154</v>
      </c>
      <c r="D201" s="23" t="s">
        <v>41</v>
      </c>
      <c r="E201" s="4" t="s">
        <v>2882</v>
      </c>
    </row>
    <row r="202" spans="1:5" x14ac:dyDescent="0.25">
      <c r="A202" s="2" t="s">
        <v>3159</v>
      </c>
      <c r="B202" s="23" t="s">
        <v>3160</v>
      </c>
      <c r="C202" s="23"/>
      <c r="D202" s="23" t="s">
        <v>2848</v>
      </c>
      <c r="E202" s="4" t="s">
        <v>2849</v>
      </c>
    </row>
    <row r="203" spans="1:5" x14ac:dyDescent="0.25">
      <c r="A203" s="2" t="s">
        <v>3161</v>
      </c>
      <c r="B203" s="23" t="s">
        <v>3162</v>
      </c>
      <c r="C203" s="23"/>
      <c r="D203" s="23" t="s">
        <v>274</v>
      </c>
      <c r="E203" s="4" t="s">
        <v>2849</v>
      </c>
    </row>
    <row r="204" spans="1:5" x14ac:dyDescent="0.25">
      <c r="A204" s="2" t="s">
        <v>366</v>
      </c>
      <c r="B204" s="23"/>
      <c r="C204" s="23" t="s">
        <v>367</v>
      </c>
      <c r="D204" s="23" t="s">
        <v>41</v>
      </c>
      <c r="E204" s="4" t="s">
        <v>2882</v>
      </c>
    </row>
    <row r="205" spans="1:5" x14ac:dyDescent="0.25">
      <c r="A205" s="2" t="s">
        <v>738</v>
      </c>
      <c r="B205" s="23"/>
      <c r="C205" s="23" t="s">
        <v>739</v>
      </c>
      <c r="D205" s="23" t="s">
        <v>41</v>
      </c>
      <c r="E205" s="4" t="s">
        <v>2882</v>
      </c>
    </row>
    <row r="206" spans="1:5" x14ac:dyDescent="0.25">
      <c r="A206" s="2" t="s">
        <v>675</v>
      </c>
      <c r="B206" s="23"/>
      <c r="C206" s="23" t="s">
        <v>676</v>
      </c>
      <c r="D206" s="23" t="s">
        <v>41</v>
      </c>
      <c r="E206" s="4" t="s">
        <v>2882</v>
      </c>
    </row>
    <row r="207" spans="1:5" x14ac:dyDescent="0.25">
      <c r="A207" s="2" t="s">
        <v>1226</v>
      </c>
      <c r="B207" s="23" t="s">
        <v>3163</v>
      </c>
      <c r="C207" s="23" t="s">
        <v>1227</v>
      </c>
      <c r="D207" s="23" t="s">
        <v>260</v>
      </c>
      <c r="E207" s="4" t="s">
        <v>2849</v>
      </c>
    </row>
    <row r="208" spans="1:5" x14ac:dyDescent="0.25">
      <c r="A208" s="2" t="s">
        <v>3164</v>
      </c>
      <c r="B208" s="23" t="s">
        <v>3165</v>
      </c>
      <c r="C208" s="23"/>
      <c r="D208" s="23" t="s">
        <v>274</v>
      </c>
      <c r="E208" s="4" t="s">
        <v>2849</v>
      </c>
    </row>
    <row r="209" spans="1:5" x14ac:dyDescent="0.25">
      <c r="A209" s="2" t="s">
        <v>230</v>
      </c>
      <c r="B209" s="23"/>
      <c r="C209" s="23" t="s">
        <v>231</v>
      </c>
      <c r="D209" s="23" t="s">
        <v>41</v>
      </c>
      <c r="E209" s="4" t="s">
        <v>2882</v>
      </c>
    </row>
    <row r="210" spans="1:5" x14ac:dyDescent="0.25">
      <c r="A210" s="2" t="s">
        <v>381</v>
      </c>
      <c r="B210" s="23" t="s">
        <v>382</v>
      </c>
      <c r="C210" s="23"/>
      <c r="D210" s="23" t="s">
        <v>274</v>
      </c>
      <c r="E210" s="4" t="s">
        <v>2849</v>
      </c>
    </row>
    <row r="211" spans="1:5" x14ac:dyDescent="0.25">
      <c r="A211" s="2" t="s">
        <v>3166</v>
      </c>
      <c r="B211" s="23" t="s">
        <v>3167</v>
      </c>
      <c r="C211" s="23"/>
      <c r="D211" s="23" t="s">
        <v>2848</v>
      </c>
      <c r="E211" s="4" t="s">
        <v>2849</v>
      </c>
    </row>
    <row r="212" spans="1:5" x14ac:dyDescent="0.25">
      <c r="A212" s="2" t="s">
        <v>3168</v>
      </c>
      <c r="B212" s="23" t="s">
        <v>3169</v>
      </c>
      <c r="C212" s="23"/>
      <c r="D212" s="23" t="s">
        <v>274</v>
      </c>
      <c r="E212" s="4" t="s">
        <v>2849</v>
      </c>
    </row>
    <row r="213" spans="1:5" x14ac:dyDescent="0.25">
      <c r="A213" s="2" t="s">
        <v>620</v>
      </c>
      <c r="B213" s="23" t="s">
        <v>3170</v>
      </c>
      <c r="C213" s="23" t="s">
        <v>621</v>
      </c>
      <c r="D213" s="23" t="s">
        <v>224</v>
      </c>
      <c r="E213" s="4" t="s">
        <v>2849</v>
      </c>
    </row>
    <row r="214" spans="1:5" x14ac:dyDescent="0.25">
      <c r="A214" s="2" t="s">
        <v>3171</v>
      </c>
      <c r="B214" s="23" t="s">
        <v>3172</v>
      </c>
      <c r="C214" s="23"/>
      <c r="D214" s="23" t="s">
        <v>224</v>
      </c>
      <c r="E214" s="4" t="s">
        <v>2849</v>
      </c>
    </row>
    <row r="215" spans="1:5" x14ac:dyDescent="0.25">
      <c r="A215" s="2" t="s">
        <v>3173</v>
      </c>
      <c r="B215" s="23" t="s">
        <v>3174</v>
      </c>
      <c r="C215" s="23"/>
      <c r="D215" s="23" t="s">
        <v>224</v>
      </c>
      <c r="E215" s="4" t="s">
        <v>2849</v>
      </c>
    </row>
    <row r="216" spans="1:5" x14ac:dyDescent="0.25">
      <c r="A216" s="2" t="s">
        <v>3175</v>
      </c>
      <c r="B216" s="23" t="s">
        <v>3176</v>
      </c>
      <c r="C216" s="23"/>
      <c r="D216" s="23" t="s">
        <v>224</v>
      </c>
      <c r="E216" s="4" t="s">
        <v>2849</v>
      </c>
    </row>
    <row r="217" spans="1:5" x14ac:dyDescent="0.25">
      <c r="A217" s="2" t="s">
        <v>222</v>
      </c>
      <c r="B217" s="23" t="s">
        <v>3177</v>
      </c>
      <c r="C217" s="23" t="s">
        <v>223</v>
      </c>
      <c r="D217" s="23" t="s">
        <v>224</v>
      </c>
      <c r="E217" s="4" t="s">
        <v>2849</v>
      </c>
    </row>
    <row r="218" spans="1:5" x14ac:dyDescent="0.25">
      <c r="A218" s="2" t="s">
        <v>3178</v>
      </c>
      <c r="B218" s="23" t="s">
        <v>3179</v>
      </c>
      <c r="C218" s="23"/>
      <c r="D218" s="23" t="s">
        <v>260</v>
      </c>
      <c r="E218" s="4" t="s">
        <v>2849</v>
      </c>
    </row>
    <row r="219" spans="1:5" x14ac:dyDescent="0.25">
      <c r="A219" s="2" t="s">
        <v>3180</v>
      </c>
      <c r="B219" s="23" t="s">
        <v>3181</v>
      </c>
      <c r="C219" s="23"/>
      <c r="D219" s="23" t="s">
        <v>260</v>
      </c>
      <c r="E219" s="4" t="s">
        <v>2849</v>
      </c>
    </row>
    <row r="220" spans="1:5" x14ac:dyDescent="0.25">
      <c r="A220" s="2" t="s">
        <v>3182</v>
      </c>
      <c r="B220" s="23" t="s">
        <v>3183</v>
      </c>
      <c r="C220" s="23"/>
      <c r="D220" s="23" t="s">
        <v>224</v>
      </c>
      <c r="E220" s="4" t="s">
        <v>2849</v>
      </c>
    </row>
    <row r="221" spans="1:5" x14ac:dyDescent="0.25">
      <c r="A221" s="2" t="s">
        <v>3184</v>
      </c>
      <c r="B221" s="23" t="s">
        <v>3185</v>
      </c>
      <c r="C221" s="23"/>
      <c r="D221" s="23" t="s">
        <v>224</v>
      </c>
      <c r="E221" s="4" t="s">
        <v>2849</v>
      </c>
    </row>
    <row r="222" spans="1:5" x14ac:dyDescent="0.25">
      <c r="A222" s="2" t="s">
        <v>3186</v>
      </c>
      <c r="B222" s="23" t="s">
        <v>3187</v>
      </c>
      <c r="C222" s="23"/>
      <c r="D222" s="23" t="s">
        <v>260</v>
      </c>
      <c r="E222" s="4" t="s">
        <v>2849</v>
      </c>
    </row>
    <row r="223" spans="1:5" x14ac:dyDescent="0.25">
      <c r="A223" s="2" t="s">
        <v>3188</v>
      </c>
      <c r="B223" s="23" t="s">
        <v>3189</v>
      </c>
      <c r="C223" s="23"/>
      <c r="D223" s="23" t="s">
        <v>224</v>
      </c>
      <c r="E223" s="4" t="s">
        <v>2849</v>
      </c>
    </row>
    <row r="224" spans="1:5" x14ac:dyDescent="0.25">
      <c r="A224" s="2" t="s">
        <v>667</v>
      </c>
      <c r="B224" s="23" t="s">
        <v>668</v>
      </c>
      <c r="C224" s="23"/>
      <c r="D224" s="23" t="s">
        <v>290</v>
      </c>
      <c r="E224" s="4" t="s">
        <v>2849</v>
      </c>
    </row>
    <row r="225" spans="1:5" x14ac:dyDescent="0.25">
      <c r="A225" s="2" t="s">
        <v>3190</v>
      </c>
      <c r="B225" s="23" t="s">
        <v>3191</v>
      </c>
      <c r="C225" s="23"/>
      <c r="D225" s="23" t="s">
        <v>2848</v>
      </c>
      <c r="E225" s="4" t="s">
        <v>2849</v>
      </c>
    </row>
    <row r="226" spans="1:5" x14ac:dyDescent="0.25">
      <c r="A226" s="2" t="s">
        <v>3192</v>
      </c>
      <c r="B226" s="23" t="s">
        <v>3193</v>
      </c>
      <c r="C226" s="23"/>
      <c r="D226" s="23" t="s">
        <v>224</v>
      </c>
      <c r="E226" s="4" t="s">
        <v>2849</v>
      </c>
    </row>
    <row r="227" spans="1:5" x14ac:dyDescent="0.25">
      <c r="A227" s="2" t="s">
        <v>529</v>
      </c>
      <c r="B227" s="23" t="s">
        <v>3194</v>
      </c>
      <c r="C227" s="23" t="s">
        <v>530</v>
      </c>
      <c r="D227" s="23" t="s">
        <v>224</v>
      </c>
      <c r="E227" s="4" t="s">
        <v>2849</v>
      </c>
    </row>
    <row r="228" spans="1:5" x14ac:dyDescent="0.25">
      <c r="A228" s="2" t="s">
        <v>3195</v>
      </c>
      <c r="B228" s="23" t="s">
        <v>3196</v>
      </c>
      <c r="C228" s="23"/>
      <c r="D228" s="23" t="s">
        <v>224</v>
      </c>
      <c r="E228" s="4" t="s">
        <v>2849</v>
      </c>
    </row>
    <row r="229" spans="1:5" x14ac:dyDescent="0.25">
      <c r="A229" s="2" t="s">
        <v>3197</v>
      </c>
      <c r="B229" s="23" t="s">
        <v>3198</v>
      </c>
      <c r="C229" s="23"/>
      <c r="D229" s="23" t="s">
        <v>224</v>
      </c>
      <c r="E229" s="4" t="s">
        <v>2849</v>
      </c>
    </row>
    <row r="230" spans="1:5" x14ac:dyDescent="0.25">
      <c r="A230" s="2" t="s">
        <v>3199</v>
      </c>
      <c r="B230" s="23" t="s">
        <v>3200</v>
      </c>
      <c r="C230" s="23"/>
      <c r="D230" s="23" t="s">
        <v>2848</v>
      </c>
      <c r="E230" s="4" t="s">
        <v>2849</v>
      </c>
    </row>
    <row r="231" spans="1:5" x14ac:dyDescent="0.25">
      <c r="A231" s="2" t="s">
        <v>3201</v>
      </c>
      <c r="B231" s="23" t="s">
        <v>3202</v>
      </c>
      <c r="C231" s="23"/>
      <c r="D231" s="23" t="s">
        <v>260</v>
      </c>
      <c r="E231" s="4" t="s">
        <v>2849</v>
      </c>
    </row>
    <row r="232" spans="1:5" x14ac:dyDescent="0.25">
      <c r="A232" s="2" t="s">
        <v>1522</v>
      </c>
      <c r="B232" s="23"/>
      <c r="C232" s="23" t="s">
        <v>1523</v>
      </c>
      <c r="D232" s="23" t="s">
        <v>41</v>
      </c>
      <c r="E232" s="4" t="s">
        <v>2882</v>
      </c>
    </row>
    <row r="233" spans="1:5" x14ac:dyDescent="0.25">
      <c r="A233" s="2" t="s">
        <v>355</v>
      </c>
      <c r="B233" s="23"/>
      <c r="C233" s="23" t="s">
        <v>356</v>
      </c>
      <c r="D233" s="23" t="s">
        <v>41</v>
      </c>
      <c r="E233" s="4" t="s">
        <v>2882</v>
      </c>
    </row>
    <row r="234" spans="1:5" x14ac:dyDescent="0.25">
      <c r="A234" s="2" t="s">
        <v>357</v>
      </c>
      <c r="B234" s="23" t="s">
        <v>358</v>
      </c>
      <c r="C234" s="23"/>
      <c r="D234" s="23" t="s">
        <v>260</v>
      </c>
      <c r="E234" s="4" t="s">
        <v>2849</v>
      </c>
    </row>
    <row r="235" spans="1:5" x14ac:dyDescent="0.25">
      <c r="A235" s="2" t="s">
        <v>3203</v>
      </c>
      <c r="B235" s="23" t="s">
        <v>3204</v>
      </c>
      <c r="C235" s="23"/>
      <c r="D235" s="23" t="s">
        <v>260</v>
      </c>
      <c r="E235" s="4" t="s">
        <v>2849</v>
      </c>
    </row>
    <row r="236" spans="1:5" x14ac:dyDescent="0.25">
      <c r="A236" s="2" t="s">
        <v>629</v>
      </c>
      <c r="B236" s="23" t="s">
        <v>630</v>
      </c>
      <c r="C236" s="23"/>
      <c r="D236" s="23" t="s">
        <v>631</v>
      </c>
      <c r="E236" s="4" t="s">
        <v>2849</v>
      </c>
    </row>
    <row r="237" spans="1:5" x14ac:dyDescent="0.25">
      <c r="A237" s="2" t="s">
        <v>3205</v>
      </c>
      <c r="B237" s="23" t="s">
        <v>3206</v>
      </c>
      <c r="C237" s="23"/>
      <c r="D237" s="23" t="s">
        <v>631</v>
      </c>
      <c r="E237" s="4" t="s">
        <v>2849</v>
      </c>
    </row>
    <row r="238" spans="1:5" x14ac:dyDescent="0.25">
      <c r="A238" s="2" t="s">
        <v>3207</v>
      </c>
      <c r="B238" s="23" t="s">
        <v>3208</v>
      </c>
      <c r="C238" s="23"/>
      <c r="D238" s="23" t="s">
        <v>2848</v>
      </c>
      <c r="E238" s="4" t="s">
        <v>2849</v>
      </c>
    </row>
    <row r="239" spans="1:5" x14ac:dyDescent="0.25">
      <c r="A239" s="2" t="s">
        <v>3209</v>
      </c>
      <c r="B239" s="23" t="s">
        <v>3210</v>
      </c>
      <c r="C239" s="23"/>
      <c r="D239" s="23" t="s">
        <v>2848</v>
      </c>
      <c r="E239" s="4" t="s">
        <v>2849</v>
      </c>
    </row>
    <row r="240" spans="1:5" x14ac:dyDescent="0.25">
      <c r="A240" s="2" t="s">
        <v>3211</v>
      </c>
      <c r="B240" s="23" t="s">
        <v>3212</v>
      </c>
      <c r="C240" s="23"/>
      <c r="D240" s="23" t="s">
        <v>2848</v>
      </c>
      <c r="E240" s="4" t="s">
        <v>2849</v>
      </c>
    </row>
    <row r="241" spans="1:5" x14ac:dyDescent="0.25">
      <c r="A241" s="2" t="s">
        <v>3213</v>
      </c>
      <c r="B241" s="23" t="s">
        <v>3214</v>
      </c>
      <c r="C241" s="23"/>
      <c r="D241" s="23" t="s">
        <v>2848</v>
      </c>
      <c r="E241" s="4" t="s">
        <v>2849</v>
      </c>
    </row>
    <row r="242" spans="1:5" x14ac:dyDescent="0.25">
      <c r="A242" s="2" t="s">
        <v>3215</v>
      </c>
      <c r="B242" s="23" t="s">
        <v>3216</v>
      </c>
      <c r="C242" s="23"/>
      <c r="D242" s="23" t="s">
        <v>2848</v>
      </c>
      <c r="E242" s="4" t="s">
        <v>2849</v>
      </c>
    </row>
    <row r="243" spans="1:5" x14ac:dyDescent="0.25">
      <c r="A243" s="2" t="s">
        <v>3217</v>
      </c>
      <c r="B243" s="23" t="s">
        <v>3218</v>
      </c>
      <c r="C243" s="23"/>
      <c r="D243" s="23" t="s">
        <v>2848</v>
      </c>
      <c r="E243" s="4" t="s">
        <v>2849</v>
      </c>
    </row>
    <row r="244" spans="1:5" x14ac:dyDescent="0.25">
      <c r="A244" s="2" t="s">
        <v>3219</v>
      </c>
      <c r="B244" s="23" t="s">
        <v>3220</v>
      </c>
      <c r="C244" s="23"/>
      <c r="D244" s="23" t="s">
        <v>2848</v>
      </c>
      <c r="E244" s="4" t="s">
        <v>2849</v>
      </c>
    </row>
    <row r="245" spans="1:5" x14ac:dyDescent="0.25">
      <c r="A245" s="2" t="s">
        <v>3221</v>
      </c>
      <c r="B245" s="23" t="s">
        <v>3222</v>
      </c>
      <c r="C245" s="23"/>
      <c r="D245" s="23" t="s">
        <v>2848</v>
      </c>
      <c r="E245" s="4" t="s">
        <v>2849</v>
      </c>
    </row>
    <row r="246" spans="1:5" x14ac:dyDescent="0.25">
      <c r="A246" s="2" t="s">
        <v>3223</v>
      </c>
      <c r="B246" s="23" t="s">
        <v>3224</v>
      </c>
      <c r="C246" s="23"/>
      <c r="D246" s="23" t="s">
        <v>2848</v>
      </c>
      <c r="E246" s="4" t="s">
        <v>2849</v>
      </c>
    </row>
    <row r="247" spans="1:5" x14ac:dyDescent="0.25">
      <c r="A247" s="2" t="s">
        <v>3225</v>
      </c>
      <c r="B247" s="23" t="s">
        <v>3226</v>
      </c>
      <c r="C247" s="23"/>
      <c r="D247" s="23" t="s">
        <v>2848</v>
      </c>
      <c r="E247" s="4" t="s">
        <v>2849</v>
      </c>
    </row>
    <row r="248" spans="1:5" x14ac:dyDescent="0.25">
      <c r="A248" s="2" t="s">
        <v>3227</v>
      </c>
      <c r="B248" s="23" t="s">
        <v>3228</v>
      </c>
      <c r="C248" s="23"/>
      <c r="D248" s="23" t="s">
        <v>2848</v>
      </c>
      <c r="E248" s="4" t="s">
        <v>2849</v>
      </c>
    </row>
    <row r="249" spans="1:5" x14ac:dyDescent="0.25">
      <c r="A249" s="2" t="s">
        <v>3229</v>
      </c>
      <c r="B249" s="23" t="s">
        <v>3230</v>
      </c>
      <c r="C249" s="23"/>
      <c r="D249" s="23" t="s">
        <v>2848</v>
      </c>
      <c r="E249" s="4" t="s">
        <v>2849</v>
      </c>
    </row>
    <row r="250" spans="1:5" x14ac:dyDescent="0.25">
      <c r="A250" s="2" t="s">
        <v>3231</v>
      </c>
      <c r="B250" s="23" t="s">
        <v>3232</v>
      </c>
      <c r="C250" s="23"/>
      <c r="D250" s="23" t="s">
        <v>2848</v>
      </c>
      <c r="E250" s="4" t="s">
        <v>2849</v>
      </c>
    </row>
    <row r="251" spans="1:5" x14ac:dyDescent="0.25">
      <c r="A251" s="2" t="s">
        <v>3233</v>
      </c>
      <c r="B251" s="23" t="s">
        <v>3234</v>
      </c>
      <c r="C251" s="23"/>
      <c r="D251" s="23" t="s">
        <v>2848</v>
      </c>
      <c r="E251" s="4" t="s">
        <v>2849</v>
      </c>
    </row>
    <row r="252" spans="1:5" x14ac:dyDescent="0.25">
      <c r="A252" s="2" t="s">
        <v>3235</v>
      </c>
      <c r="B252" s="23" t="s">
        <v>3236</v>
      </c>
      <c r="C252" s="23"/>
      <c r="D252" s="23" t="s">
        <v>2848</v>
      </c>
      <c r="E252" s="4" t="s">
        <v>2849</v>
      </c>
    </row>
    <row r="253" spans="1:5" x14ac:dyDescent="0.25">
      <c r="A253" s="2" t="s">
        <v>3237</v>
      </c>
      <c r="B253" s="23" t="s">
        <v>3238</v>
      </c>
      <c r="C253" s="23"/>
      <c r="D253" s="23" t="s">
        <v>2848</v>
      </c>
      <c r="E253" s="4" t="s">
        <v>2849</v>
      </c>
    </row>
    <row r="254" spans="1:5" x14ac:dyDescent="0.25">
      <c r="A254" s="2" t="s">
        <v>3239</v>
      </c>
      <c r="B254" s="23" t="s">
        <v>3240</v>
      </c>
      <c r="C254" s="23"/>
      <c r="D254" s="23" t="s">
        <v>2848</v>
      </c>
      <c r="E254" s="4" t="s">
        <v>2849</v>
      </c>
    </row>
    <row r="255" spans="1:5" x14ac:dyDescent="0.25">
      <c r="A255" s="2" t="s">
        <v>3241</v>
      </c>
      <c r="B255" s="23" t="s">
        <v>3242</v>
      </c>
      <c r="C255" s="23"/>
      <c r="D255" s="23" t="s">
        <v>2848</v>
      </c>
      <c r="E255" s="4" t="s">
        <v>2849</v>
      </c>
    </row>
    <row r="256" spans="1:5" x14ac:dyDescent="0.25">
      <c r="A256" s="2" t="s">
        <v>3243</v>
      </c>
      <c r="B256" s="23" t="s">
        <v>3244</v>
      </c>
      <c r="C256" s="23"/>
      <c r="D256" s="23" t="s">
        <v>2848</v>
      </c>
      <c r="E256" s="4" t="s">
        <v>2849</v>
      </c>
    </row>
    <row r="257" spans="1:5" x14ac:dyDescent="0.25">
      <c r="A257" s="2" t="s">
        <v>3245</v>
      </c>
      <c r="B257" s="23" t="s">
        <v>3246</v>
      </c>
      <c r="C257" s="23"/>
      <c r="D257" s="23" t="s">
        <v>2848</v>
      </c>
      <c r="E257" s="4" t="s">
        <v>2849</v>
      </c>
    </row>
    <row r="258" spans="1:5" x14ac:dyDescent="0.25">
      <c r="A258" s="2" t="s">
        <v>3247</v>
      </c>
      <c r="B258" s="23" t="s">
        <v>3248</v>
      </c>
      <c r="C258" s="23"/>
      <c r="D258" s="23" t="s">
        <v>2848</v>
      </c>
      <c r="E258" s="4" t="s">
        <v>2849</v>
      </c>
    </row>
    <row r="259" spans="1:5" x14ac:dyDescent="0.25">
      <c r="A259" s="2" t="s">
        <v>3249</v>
      </c>
      <c r="B259" s="23" t="s">
        <v>3250</v>
      </c>
      <c r="C259" s="23"/>
      <c r="D259" s="23" t="s">
        <v>2848</v>
      </c>
      <c r="E259" s="4" t="s">
        <v>2849</v>
      </c>
    </row>
    <row r="260" spans="1:5" x14ac:dyDescent="0.25">
      <c r="A260" s="2" t="s">
        <v>3251</v>
      </c>
      <c r="B260" s="23" t="s">
        <v>3252</v>
      </c>
      <c r="C260" s="23"/>
      <c r="D260" s="23" t="s">
        <v>2848</v>
      </c>
      <c r="E260" s="4" t="s">
        <v>2849</v>
      </c>
    </row>
    <row r="261" spans="1:5" x14ac:dyDescent="0.25">
      <c r="A261" s="2" t="s">
        <v>3253</v>
      </c>
      <c r="B261" s="23" t="s">
        <v>3254</v>
      </c>
      <c r="C261" s="23"/>
      <c r="D261" s="23" t="s">
        <v>2848</v>
      </c>
      <c r="E261" s="4" t="s">
        <v>2849</v>
      </c>
    </row>
    <row r="262" spans="1:5" x14ac:dyDescent="0.25">
      <c r="A262" s="2" t="s">
        <v>3255</v>
      </c>
      <c r="B262" s="23" t="s">
        <v>3256</v>
      </c>
      <c r="C262" s="23"/>
      <c r="D262" s="23" t="s">
        <v>2848</v>
      </c>
      <c r="E262" s="4" t="s">
        <v>2849</v>
      </c>
    </row>
    <row r="263" spans="1:5" x14ac:dyDescent="0.25">
      <c r="A263" s="2" t="s">
        <v>3257</v>
      </c>
      <c r="B263" s="23" t="s">
        <v>3258</v>
      </c>
      <c r="C263" s="23"/>
      <c r="D263" s="23" t="s">
        <v>2848</v>
      </c>
      <c r="E263" s="4" t="s">
        <v>2849</v>
      </c>
    </row>
    <row r="264" spans="1:5" x14ac:dyDescent="0.25">
      <c r="A264" s="2" t="s">
        <v>3259</v>
      </c>
      <c r="B264" s="23" t="s">
        <v>3260</v>
      </c>
      <c r="C264" s="23"/>
      <c r="D264" s="23" t="s">
        <v>2848</v>
      </c>
      <c r="E264" s="4" t="s">
        <v>2849</v>
      </c>
    </row>
    <row r="265" spans="1:5" x14ac:dyDescent="0.25">
      <c r="A265" s="2" t="s">
        <v>3261</v>
      </c>
      <c r="B265" s="23" t="s">
        <v>3262</v>
      </c>
      <c r="C265" s="23"/>
      <c r="D265" s="23" t="s">
        <v>2848</v>
      </c>
      <c r="E265" s="4" t="s">
        <v>2849</v>
      </c>
    </row>
    <row r="266" spans="1:5" x14ac:dyDescent="0.25">
      <c r="A266" s="2" t="s">
        <v>3263</v>
      </c>
      <c r="B266" s="23" t="s">
        <v>3264</v>
      </c>
      <c r="C266" s="23"/>
      <c r="D266" s="23" t="s">
        <v>2848</v>
      </c>
      <c r="E266" s="4" t="s">
        <v>2849</v>
      </c>
    </row>
    <row r="267" spans="1:5" x14ac:dyDescent="0.25">
      <c r="A267" s="2" t="s">
        <v>3265</v>
      </c>
      <c r="B267" s="23" t="s">
        <v>3266</v>
      </c>
      <c r="C267" s="23"/>
      <c r="D267" s="23" t="s">
        <v>2848</v>
      </c>
      <c r="E267" s="4" t="s">
        <v>2849</v>
      </c>
    </row>
    <row r="268" spans="1:5" x14ac:dyDescent="0.25">
      <c r="A268" s="2" t="s">
        <v>3267</v>
      </c>
      <c r="B268" s="23" t="s">
        <v>3268</v>
      </c>
      <c r="C268" s="23"/>
      <c r="D268" s="23" t="s">
        <v>2848</v>
      </c>
      <c r="E268" s="4" t="s">
        <v>2849</v>
      </c>
    </row>
    <row r="269" spans="1:5" x14ac:dyDescent="0.25">
      <c r="A269" s="2" t="s">
        <v>3269</v>
      </c>
      <c r="B269" s="23" t="s">
        <v>3270</v>
      </c>
      <c r="C269" s="23"/>
      <c r="D269" s="23" t="s">
        <v>2848</v>
      </c>
      <c r="E269" s="4" t="s">
        <v>2849</v>
      </c>
    </row>
    <row r="270" spans="1:5" x14ac:dyDescent="0.25">
      <c r="A270" s="2" t="s">
        <v>3271</v>
      </c>
      <c r="B270" s="23" t="s">
        <v>3272</v>
      </c>
      <c r="C270" s="23"/>
      <c r="D270" s="23" t="s">
        <v>274</v>
      </c>
      <c r="E270" s="4" t="s">
        <v>2849</v>
      </c>
    </row>
    <row r="271" spans="1:5" x14ac:dyDescent="0.25">
      <c r="A271" s="2" t="s">
        <v>3273</v>
      </c>
      <c r="B271" s="23" t="s">
        <v>3274</v>
      </c>
      <c r="C271" s="23"/>
      <c r="D271" s="23" t="s">
        <v>274</v>
      </c>
      <c r="E271" s="4" t="s">
        <v>2849</v>
      </c>
    </row>
    <row r="272" spans="1:5" x14ac:dyDescent="0.25">
      <c r="A272" s="2" t="s">
        <v>547</v>
      </c>
      <c r="B272" s="23" t="s">
        <v>548</v>
      </c>
      <c r="C272" s="23"/>
      <c r="D272" s="23" t="s">
        <v>224</v>
      </c>
      <c r="E272" s="4" t="s">
        <v>2849</v>
      </c>
    </row>
    <row r="273" spans="1:5" x14ac:dyDescent="0.25">
      <c r="A273" s="2" t="s">
        <v>532</v>
      </c>
      <c r="B273" s="23" t="s">
        <v>3275</v>
      </c>
      <c r="C273" s="23" t="s">
        <v>607</v>
      </c>
      <c r="D273" s="23" t="s">
        <v>224</v>
      </c>
      <c r="E273" s="4" t="s">
        <v>2849</v>
      </c>
    </row>
    <row r="274" spans="1:5" x14ac:dyDescent="0.25">
      <c r="A274" s="2" t="s">
        <v>552</v>
      </c>
      <c r="B274" s="23" t="s">
        <v>3276</v>
      </c>
      <c r="C274" s="23" t="s">
        <v>553</v>
      </c>
      <c r="D274" s="23" t="s">
        <v>224</v>
      </c>
      <c r="E274" s="4" t="s">
        <v>2849</v>
      </c>
    </row>
    <row r="275" spans="1:5" x14ac:dyDescent="0.25">
      <c r="A275" s="2" t="s">
        <v>540</v>
      </c>
      <c r="B275" s="23" t="s">
        <v>3277</v>
      </c>
      <c r="C275" s="23" t="s">
        <v>541</v>
      </c>
      <c r="D275" s="23" t="s">
        <v>224</v>
      </c>
      <c r="E275" s="4" t="s">
        <v>2849</v>
      </c>
    </row>
    <row r="276" spans="1:5" x14ac:dyDescent="0.25">
      <c r="A276" s="2" t="s">
        <v>565</v>
      </c>
      <c r="B276" s="23" t="s">
        <v>3278</v>
      </c>
      <c r="C276" s="23" t="s">
        <v>566</v>
      </c>
      <c r="D276" s="23" t="s">
        <v>224</v>
      </c>
      <c r="E276" s="4" t="s">
        <v>2849</v>
      </c>
    </row>
    <row r="277" spans="1:5" x14ac:dyDescent="0.25">
      <c r="A277" s="2" t="s">
        <v>3279</v>
      </c>
      <c r="B277" s="23" t="s">
        <v>3280</v>
      </c>
      <c r="C277" s="23"/>
      <c r="D277" s="23" t="s">
        <v>224</v>
      </c>
      <c r="E277" s="4" t="s">
        <v>2849</v>
      </c>
    </row>
    <row r="278" spans="1:5" x14ac:dyDescent="0.25">
      <c r="A278" s="2" t="s">
        <v>3281</v>
      </c>
      <c r="B278" s="23" t="s">
        <v>3282</v>
      </c>
      <c r="C278" s="23"/>
      <c r="D278" s="23" t="s">
        <v>224</v>
      </c>
      <c r="E278" s="4" t="s">
        <v>2849</v>
      </c>
    </row>
    <row r="279" spans="1:5" x14ac:dyDescent="0.25">
      <c r="A279" s="2" t="s">
        <v>3283</v>
      </c>
      <c r="B279" s="23" t="s">
        <v>3284</v>
      </c>
      <c r="C279" s="23"/>
      <c r="D279" s="23" t="s">
        <v>224</v>
      </c>
      <c r="E279" s="4" t="s">
        <v>2849</v>
      </c>
    </row>
    <row r="280" spans="1:5" x14ac:dyDescent="0.25">
      <c r="A280" s="2" t="s">
        <v>3285</v>
      </c>
      <c r="B280" s="23" t="s">
        <v>3286</v>
      </c>
      <c r="C280" s="23"/>
      <c r="D280" s="23" t="s">
        <v>224</v>
      </c>
      <c r="E280" s="4" t="s">
        <v>2849</v>
      </c>
    </row>
    <row r="281" spans="1:5" x14ac:dyDescent="0.25">
      <c r="A281" s="2" t="s">
        <v>555</v>
      </c>
      <c r="B281" s="23" t="s">
        <v>3287</v>
      </c>
      <c r="C281" s="23" t="s">
        <v>571</v>
      </c>
      <c r="D281" s="23" t="s">
        <v>224</v>
      </c>
      <c r="E281" s="4" t="s">
        <v>2849</v>
      </c>
    </row>
    <row r="282" spans="1:5" x14ac:dyDescent="0.25">
      <c r="A282" s="2" t="s">
        <v>3288</v>
      </c>
      <c r="B282" s="23" t="s">
        <v>3289</v>
      </c>
      <c r="C282" s="23"/>
      <c r="D282" s="23" t="s">
        <v>224</v>
      </c>
      <c r="E282" s="4" t="s">
        <v>2849</v>
      </c>
    </row>
    <row r="283" spans="1:5" x14ac:dyDescent="0.25">
      <c r="A283" s="2" t="s">
        <v>3290</v>
      </c>
      <c r="B283" s="23" t="s">
        <v>3291</v>
      </c>
      <c r="C283" s="23"/>
      <c r="D283" s="23" t="s">
        <v>224</v>
      </c>
      <c r="E283" s="4" t="s">
        <v>2849</v>
      </c>
    </row>
    <row r="284" spans="1:5" x14ac:dyDescent="0.25">
      <c r="A284" s="2" t="s">
        <v>2101</v>
      </c>
      <c r="B284" s="23" t="s">
        <v>3292</v>
      </c>
      <c r="C284" s="23" t="s">
        <v>2242</v>
      </c>
      <c r="D284" s="23" t="s">
        <v>224</v>
      </c>
      <c r="E284" s="4" t="s">
        <v>2849</v>
      </c>
    </row>
    <row r="285" spans="1:5" x14ac:dyDescent="0.25">
      <c r="A285" s="2" t="s">
        <v>3293</v>
      </c>
      <c r="B285" s="23" t="s">
        <v>3294</v>
      </c>
      <c r="C285" s="23"/>
      <c r="D285" s="23" t="s">
        <v>471</v>
      </c>
      <c r="E285" s="4" t="s">
        <v>2849</v>
      </c>
    </row>
    <row r="286" spans="1:5" x14ac:dyDescent="0.25">
      <c r="A286" s="2" t="s">
        <v>484</v>
      </c>
      <c r="B286" s="23"/>
      <c r="C286" s="23" t="s">
        <v>485</v>
      </c>
      <c r="D286" s="23" t="s">
        <v>41</v>
      </c>
      <c r="E286" s="4" t="s">
        <v>2882</v>
      </c>
    </row>
    <row r="287" spans="1:5" x14ac:dyDescent="0.25">
      <c r="A287" s="2" t="s">
        <v>478</v>
      </c>
      <c r="B287" s="23" t="s">
        <v>3295</v>
      </c>
      <c r="C287" s="23" t="s">
        <v>477</v>
      </c>
      <c r="D287" s="23" t="s">
        <v>471</v>
      </c>
      <c r="E287" s="4" t="s">
        <v>2849</v>
      </c>
    </row>
    <row r="288" spans="1:5" x14ac:dyDescent="0.25">
      <c r="A288" s="2" t="s">
        <v>512</v>
      </c>
      <c r="B288" s="23" t="s">
        <v>3296</v>
      </c>
      <c r="C288" s="23" t="s">
        <v>513</v>
      </c>
      <c r="D288" s="23" t="s">
        <v>471</v>
      </c>
      <c r="E288" s="4" t="s">
        <v>2849</v>
      </c>
    </row>
    <row r="289" spans="1:5" x14ac:dyDescent="0.25">
      <c r="A289" s="2" t="s">
        <v>3297</v>
      </c>
      <c r="B289" s="23" t="s">
        <v>3298</v>
      </c>
      <c r="C289" s="23"/>
      <c r="D289" s="23" t="s">
        <v>471</v>
      </c>
      <c r="E289" s="4" t="s">
        <v>2849</v>
      </c>
    </row>
    <row r="290" spans="1:5" x14ac:dyDescent="0.25">
      <c r="A290" s="2" t="s">
        <v>487</v>
      </c>
      <c r="B290" s="23" t="s">
        <v>488</v>
      </c>
      <c r="C290" s="23"/>
      <c r="D290" s="23" t="s">
        <v>471</v>
      </c>
      <c r="E290" s="4" t="s">
        <v>2849</v>
      </c>
    </row>
    <row r="291" spans="1:5" x14ac:dyDescent="0.25">
      <c r="A291" s="2" t="s">
        <v>3299</v>
      </c>
      <c r="B291" s="23" t="s">
        <v>3300</v>
      </c>
      <c r="C291" s="23"/>
      <c r="D291" s="23" t="s">
        <v>224</v>
      </c>
      <c r="E291" s="4" t="s">
        <v>2849</v>
      </c>
    </row>
    <row r="292" spans="1:5" x14ac:dyDescent="0.25">
      <c r="A292" s="2" t="s">
        <v>3301</v>
      </c>
      <c r="B292" s="23" t="s">
        <v>3302</v>
      </c>
      <c r="C292" s="23"/>
      <c r="D292" s="23" t="s">
        <v>2848</v>
      </c>
      <c r="E292" s="4" t="s">
        <v>2849</v>
      </c>
    </row>
    <row r="293" spans="1:5" x14ac:dyDescent="0.25">
      <c r="A293" s="2" t="s">
        <v>288</v>
      </c>
      <c r="B293" s="23" t="s">
        <v>3303</v>
      </c>
      <c r="C293" s="23" t="s">
        <v>289</v>
      </c>
      <c r="D293" s="23" t="s">
        <v>290</v>
      </c>
      <c r="E293" s="4" t="s">
        <v>2849</v>
      </c>
    </row>
    <row r="294" spans="1:5" x14ac:dyDescent="0.25">
      <c r="A294" s="2" t="s">
        <v>3304</v>
      </c>
      <c r="B294" s="23" t="s">
        <v>3305</v>
      </c>
      <c r="C294" s="23"/>
      <c r="D294" s="23" t="s">
        <v>290</v>
      </c>
      <c r="E294" s="4" t="s">
        <v>2849</v>
      </c>
    </row>
    <row r="295" spans="1:5" x14ac:dyDescent="0.25">
      <c r="A295" s="2" t="s">
        <v>761</v>
      </c>
      <c r="B295" s="23" t="s">
        <v>3306</v>
      </c>
      <c r="C295" s="23" t="s">
        <v>762</v>
      </c>
      <c r="D295" s="23" t="s">
        <v>631</v>
      </c>
      <c r="E295" s="4" t="s">
        <v>2849</v>
      </c>
    </row>
    <row r="296" spans="1:5" x14ac:dyDescent="0.25">
      <c r="A296" s="2" t="s">
        <v>3307</v>
      </c>
      <c r="B296" s="23" t="s">
        <v>3308</v>
      </c>
      <c r="C296" s="23"/>
      <c r="D296" s="23" t="s">
        <v>631</v>
      </c>
      <c r="E296" s="4" t="s">
        <v>2849</v>
      </c>
    </row>
    <row r="297" spans="1:5" x14ac:dyDescent="0.25">
      <c r="A297" s="2" t="s">
        <v>3309</v>
      </c>
      <c r="B297" s="23" t="s">
        <v>3310</v>
      </c>
      <c r="C297" s="23"/>
      <c r="D297" s="23" t="s">
        <v>2848</v>
      </c>
      <c r="E297" s="4" t="s">
        <v>2849</v>
      </c>
    </row>
    <row r="298" spans="1:5" x14ac:dyDescent="0.25">
      <c r="A298" s="2" t="s">
        <v>3311</v>
      </c>
      <c r="B298" s="23" t="s">
        <v>3312</v>
      </c>
      <c r="C298" s="23"/>
      <c r="D298" s="23" t="s">
        <v>2848</v>
      </c>
      <c r="E298" s="4" t="s">
        <v>2849</v>
      </c>
    </row>
    <row r="299" spans="1:5" x14ac:dyDescent="0.25">
      <c r="A299" s="2" t="s">
        <v>3313</v>
      </c>
      <c r="B299" s="23" t="s">
        <v>3314</v>
      </c>
      <c r="C299" s="23"/>
      <c r="D299" s="23" t="s">
        <v>2848</v>
      </c>
      <c r="E299" s="4" t="s">
        <v>2849</v>
      </c>
    </row>
    <row r="300" spans="1:5" x14ac:dyDescent="0.25">
      <c r="A300" s="2" t="s">
        <v>3315</v>
      </c>
      <c r="B300" s="23" t="s">
        <v>3316</v>
      </c>
      <c r="C300" s="23"/>
      <c r="D300" s="23" t="s">
        <v>274</v>
      </c>
      <c r="E300" s="4" t="s">
        <v>2849</v>
      </c>
    </row>
    <row r="301" spans="1:5" x14ac:dyDescent="0.25">
      <c r="A301" s="2" t="s">
        <v>3317</v>
      </c>
      <c r="B301" s="23" t="s">
        <v>3318</v>
      </c>
      <c r="C301" s="23"/>
      <c r="D301" s="23" t="s">
        <v>274</v>
      </c>
      <c r="E301" s="4" t="s">
        <v>2849</v>
      </c>
    </row>
    <row r="302" spans="1:5" x14ac:dyDescent="0.25">
      <c r="A302" s="2" t="s">
        <v>3319</v>
      </c>
      <c r="B302" s="23" t="s">
        <v>3320</v>
      </c>
      <c r="C302" s="23"/>
      <c r="D302" s="23" t="s">
        <v>2848</v>
      </c>
      <c r="E302" s="4" t="s">
        <v>2849</v>
      </c>
    </row>
    <row r="303" spans="1:5" x14ac:dyDescent="0.25">
      <c r="A303" s="2" t="s">
        <v>3321</v>
      </c>
      <c r="B303" s="23" t="s">
        <v>3322</v>
      </c>
      <c r="C303" s="23"/>
      <c r="D303" s="23" t="s">
        <v>2848</v>
      </c>
      <c r="E303" s="4" t="s">
        <v>2849</v>
      </c>
    </row>
    <row r="304" spans="1:5" x14ac:dyDescent="0.25">
      <c r="A304" s="2" t="s">
        <v>472</v>
      </c>
      <c r="B304" s="23" t="s">
        <v>473</v>
      </c>
      <c r="C304" s="23"/>
      <c r="D304" s="23" t="s">
        <v>474</v>
      </c>
      <c r="E304" s="4" t="s">
        <v>2849</v>
      </c>
    </row>
    <row r="305" spans="1:5" x14ac:dyDescent="0.25">
      <c r="A305" s="2" t="s">
        <v>3323</v>
      </c>
      <c r="B305" s="23" t="s">
        <v>3324</v>
      </c>
      <c r="C305" s="23"/>
      <c r="D305" s="23" t="s">
        <v>474</v>
      </c>
      <c r="E305" s="4" t="s">
        <v>2849</v>
      </c>
    </row>
    <row r="306" spans="1:5" x14ac:dyDescent="0.25">
      <c r="A306" s="2" t="s">
        <v>3325</v>
      </c>
      <c r="B306" s="23" t="s">
        <v>3326</v>
      </c>
      <c r="C306" s="23"/>
      <c r="D306" s="23" t="s">
        <v>474</v>
      </c>
      <c r="E306" s="4" t="s">
        <v>2849</v>
      </c>
    </row>
    <row r="307" spans="1:5" x14ac:dyDescent="0.25">
      <c r="A307" s="2" t="s">
        <v>468</v>
      </c>
      <c r="B307" s="23" t="s">
        <v>3327</v>
      </c>
      <c r="C307" s="23" t="s">
        <v>469</v>
      </c>
      <c r="D307" s="23" t="s">
        <v>471</v>
      </c>
      <c r="E307" s="4" t="s">
        <v>2849</v>
      </c>
    </row>
    <row r="308" spans="1:5" x14ac:dyDescent="0.25">
      <c r="A308" s="2" t="s">
        <v>500</v>
      </c>
      <c r="B308" s="23" t="s">
        <v>501</v>
      </c>
      <c r="C308" s="23"/>
      <c r="D308" s="23" t="s">
        <v>474</v>
      </c>
      <c r="E308" s="4" t="s">
        <v>2849</v>
      </c>
    </row>
    <row r="309" spans="1:5" x14ac:dyDescent="0.25">
      <c r="A309" s="2" t="s">
        <v>3328</v>
      </c>
      <c r="B309" s="23" t="s">
        <v>3329</v>
      </c>
      <c r="C309" s="23"/>
      <c r="D309" s="23" t="s">
        <v>132</v>
      </c>
      <c r="E309" s="4" t="s">
        <v>2849</v>
      </c>
    </row>
    <row r="310" spans="1:5" x14ac:dyDescent="0.25">
      <c r="A310" s="2" t="s">
        <v>3330</v>
      </c>
      <c r="B310" s="23" t="s">
        <v>3331</v>
      </c>
      <c r="C310" s="23"/>
      <c r="D310" s="23" t="s">
        <v>132</v>
      </c>
      <c r="E310" s="4" t="s">
        <v>2849</v>
      </c>
    </row>
    <row r="311" spans="1:5" x14ac:dyDescent="0.25">
      <c r="A311" s="2" t="s">
        <v>3332</v>
      </c>
      <c r="B311" s="23" t="s">
        <v>3333</v>
      </c>
      <c r="C311" s="23"/>
      <c r="D311" s="23" t="s">
        <v>2848</v>
      </c>
      <c r="E311" s="4" t="s">
        <v>2849</v>
      </c>
    </row>
    <row r="312" spans="1:5" x14ac:dyDescent="0.25">
      <c r="A312" s="2" t="s">
        <v>3334</v>
      </c>
      <c r="B312" s="23" t="s">
        <v>3335</v>
      </c>
      <c r="C312" s="23"/>
      <c r="D312" s="23" t="s">
        <v>2848</v>
      </c>
      <c r="E312" s="4" t="s">
        <v>2849</v>
      </c>
    </row>
    <row r="313" spans="1:5" x14ac:dyDescent="0.25">
      <c r="A313" s="2" t="s">
        <v>3336</v>
      </c>
      <c r="B313" s="23" t="s">
        <v>3337</v>
      </c>
      <c r="C313" s="23"/>
      <c r="D313" s="23" t="s">
        <v>2848</v>
      </c>
      <c r="E313" s="4" t="s">
        <v>2849</v>
      </c>
    </row>
    <row r="314" spans="1:5" x14ac:dyDescent="0.25">
      <c r="A314" s="2" t="s">
        <v>3338</v>
      </c>
      <c r="B314" s="23" t="s">
        <v>3339</v>
      </c>
      <c r="C314" s="23"/>
      <c r="D314" s="23" t="s">
        <v>2848</v>
      </c>
      <c r="E314" s="4" t="s">
        <v>2849</v>
      </c>
    </row>
    <row r="315" spans="1:5" x14ac:dyDescent="0.25">
      <c r="A315" s="2" t="s">
        <v>3340</v>
      </c>
      <c r="B315" s="23" t="s">
        <v>3341</v>
      </c>
      <c r="C315" s="23"/>
      <c r="D315" s="23" t="s">
        <v>2848</v>
      </c>
      <c r="E315" s="4" t="s">
        <v>2849</v>
      </c>
    </row>
    <row r="316" spans="1:5" x14ac:dyDescent="0.25">
      <c r="A316" s="2" t="s">
        <v>3342</v>
      </c>
      <c r="B316" s="23" t="s">
        <v>3343</v>
      </c>
      <c r="C316" s="23"/>
      <c r="D316" s="23" t="s">
        <v>2848</v>
      </c>
      <c r="E316" s="4" t="s">
        <v>2849</v>
      </c>
    </row>
    <row r="317" spans="1:5" x14ac:dyDescent="0.25">
      <c r="A317" s="2" t="s">
        <v>876</v>
      </c>
      <c r="B317" s="23" t="s">
        <v>3344</v>
      </c>
      <c r="C317" s="23" t="s">
        <v>877</v>
      </c>
      <c r="D317" s="23" t="s">
        <v>844</v>
      </c>
      <c r="E317" s="4" t="s">
        <v>2849</v>
      </c>
    </row>
    <row r="318" spans="1:5" x14ac:dyDescent="0.25">
      <c r="A318" s="2" t="s">
        <v>842</v>
      </c>
      <c r="B318" s="23" t="s">
        <v>3345</v>
      </c>
      <c r="C318" s="23" t="s">
        <v>843</v>
      </c>
      <c r="D318" s="23" t="s">
        <v>844</v>
      </c>
      <c r="E318" s="4" t="s">
        <v>2849</v>
      </c>
    </row>
    <row r="319" spans="1:5" x14ac:dyDescent="0.25">
      <c r="A319" s="2" t="s">
        <v>3346</v>
      </c>
      <c r="B319" s="23" t="s">
        <v>3347</v>
      </c>
      <c r="C319" s="23"/>
      <c r="D319" s="23" t="s">
        <v>844</v>
      </c>
      <c r="E319" s="4" t="s">
        <v>2849</v>
      </c>
    </row>
    <row r="320" spans="1:5" x14ac:dyDescent="0.25">
      <c r="A320" s="2" t="s">
        <v>2222</v>
      </c>
      <c r="B320" s="23" t="s">
        <v>2223</v>
      </c>
      <c r="C320" s="23"/>
      <c r="D320" s="23" t="s">
        <v>844</v>
      </c>
      <c r="E320" s="4" t="s">
        <v>2849</v>
      </c>
    </row>
    <row r="321" spans="1:5" x14ac:dyDescent="0.25">
      <c r="A321" s="2" t="s">
        <v>3348</v>
      </c>
      <c r="B321" s="23" t="s">
        <v>3349</v>
      </c>
      <c r="C321" s="23"/>
      <c r="D321" s="23" t="s">
        <v>792</v>
      </c>
      <c r="E321" s="4" t="s">
        <v>2849</v>
      </c>
    </row>
    <row r="322" spans="1:5" x14ac:dyDescent="0.25">
      <c r="A322" s="2" t="s">
        <v>3350</v>
      </c>
      <c r="B322" s="23" t="s">
        <v>3351</v>
      </c>
      <c r="C322" s="23"/>
      <c r="D322" s="23" t="s">
        <v>844</v>
      </c>
      <c r="E322" s="4" t="s">
        <v>2849</v>
      </c>
    </row>
    <row r="323" spans="1:5" x14ac:dyDescent="0.25">
      <c r="A323" s="2" t="s">
        <v>3352</v>
      </c>
      <c r="B323" s="23" t="s">
        <v>3353</v>
      </c>
      <c r="C323" s="23"/>
      <c r="D323" s="23" t="s">
        <v>844</v>
      </c>
      <c r="E323" s="4" t="s">
        <v>2849</v>
      </c>
    </row>
    <row r="324" spans="1:5" x14ac:dyDescent="0.25">
      <c r="A324" s="2" t="s">
        <v>1024</v>
      </c>
      <c r="B324" s="23" t="s">
        <v>3354</v>
      </c>
      <c r="C324" s="23" t="s">
        <v>1029</v>
      </c>
      <c r="D324" s="23" t="s">
        <v>148</v>
      </c>
      <c r="E324" s="4" t="s">
        <v>2849</v>
      </c>
    </row>
    <row r="325" spans="1:5" x14ac:dyDescent="0.25">
      <c r="A325" s="2" t="s">
        <v>910</v>
      </c>
      <c r="B325" s="23"/>
      <c r="C325" s="23" t="s">
        <v>911</v>
      </c>
      <c r="D325" s="23" t="s">
        <v>41</v>
      </c>
      <c r="E325" s="4" t="s">
        <v>2882</v>
      </c>
    </row>
    <row r="326" spans="1:5" x14ac:dyDescent="0.25">
      <c r="A326" s="2" t="s">
        <v>892</v>
      </c>
      <c r="B326" s="23"/>
      <c r="C326" s="23" t="s">
        <v>893</v>
      </c>
      <c r="D326" s="23" t="s">
        <v>41</v>
      </c>
      <c r="E326" s="4" t="s">
        <v>2882</v>
      </c>
    </row>
    <row r="327" spans="1:5" x14ac:dyDescent="0.25">
      <c r="A327" s="2" t="s">
        <v>3355</v>
      </c>
      <c r="B327" s="23" t="s">
        <v>3356</v>
      </c>
      <c r="C327" s="23"/>
      <c r="D327" s="23" t="s">
        <v>844</v>
      </c>
      <c r="E327" s="4" t="s">
        <v>2849</v>
      </c>
    </row>
    <row r="328" spans="1:5" x14ac:dyDescent="0.25">
      <c r="A328" s="2" t="s">
        <v>3357</v>
      </c>
      <c r="B328" s="23" t="s">
        <v>3358</v>
      </c>
      <c r="C328" s="23"/>
      <c r="D328" s="23" t="s">
        <v>844</v>
      </c>
      <c r="E328" s="4" t="s">
        <v>2849</v>
      </c>
    </row>
    <row r="329" spans="1:5" x14ac:dyDescent="0.25">
      <c r="A329" s="2" t="s">
        <v>3359</v>
      </c>
      <c r="B329" s="23" t="s">
        <v>3360</v>
      </c>
      <c r="C329" s="23"/>
      <c r="D329" s="23" t="s">
        <v>844</v>
      </c>
      <c r="E329" s="4" t="s">
        <v>2849</v>
      </c>
    </row>
    <row r="330" spans="1:5" x14ac:dyDescent="0.25">
      <c r="A330" s="2" t="s">
        <v>997</v>
      </c>
      <c r="B330" s="23" t="s">
        <v>3361</v>
      </c>
      <c r="C330" s="23" t="s">
        <v>998</v>
      </c>
      <c r="D330" s="23" t="s">
        <v>792</v>
      </c>
      <c r="E330" s="4" t="s">
        <v>2849</v>
      </c>
    </row>
    <row r="331" spans="1:5" x14ac:dyDescent="0.25">
      <c r="A331" s="2" t="s">
        <v>804</v>
      </c>
      <c r="B331" s="23" t="s">
        <v>805</v>
      </c>
      <c r="C331" s="23"/>
      <c r="D331" s="23" t="s">
        <v>792</v>
      </c>
      <c r="E331" s="4" t="s">
        <v>2849</v>
      </c>
    </row>
    <row r="332" spans="1:5" x14ac:dyDescent="0.25">
      <c r="A332" s="2" t="s">
        <v>789</v>
      </c>
      <c r="B332" s="23" t="s">
        <v>3362</v>
      </c>
      <c r="C332" s="23" t="s">
        <v>790</v>
      </c>
      <c r="D332" s="23" t="s">
        <v>792</v>
      </c>
      <c r="E332" s="4" t="s">
        <v>2849</v>
      </c>
    </row>
    <row r="333" spans="1:5" x14ac:dyDescent="0.25">
      <c r="A333" s="2" t="s">
        <v>3363</v>
      </c>
      <c r="B333" s="23" t="s">
        <v>3364</v>
      </c>
      <c r="C333" s="23"/>
      <c r="D333" s="23" t="s">
        <v>792</v>
      </c>
      <c r="E333" s="4" t="s">
        <v>2849</v>
      </c>
    </row>
    <row r="334" spans="1:5" x14ac:dyDescent="0.25">
      <c r="A334" s="2" t="s">
        <v>3365</v>
      </c>
      <c r="B334" s="23" t="s">
        <v>3366</v>
      </c>
      <c r="C334" s="23"/>
      <c r="D334" s="23" t="s">
        <v>792</v>
      </c>
      <c r="E334" s="4" t="s">
        <v>2849</v>
      </c>
    </row>
    <row r="335" spans="1:5" x14ac:dyDescent="0.25">
      <c r="A335" s="2" t="s">
        <v>3367</v>
      </c>
      <c r="B335" s="23" t="s">
        <v>3368</v>
      </c>
      <c r="C335" s="23"/>
      <c r="D335" s="23" t="s">
        <v>792</v>
      </c>
      <c r="E335" s="4" t="s">
        <v>2849</v>
      </c>
    </row>
    <row r="336" spans="1:5" x14ac:dyDescent="0.25">
      <c r="A336" s="2" t="s">
        <v>3369</v>
      </c>
      <c r="B336" s="23" t="s">
        <v>3370</v>
      </c>
      <c r="C336" s="23"/>
      <c r="D336" s="23" t="s">
        <v>792</v>
      </c>
      <c r="E336" s="4" t="s">
        <v>2849</v>
      </c>
    </row>
    <row r="337" spans="1:5" x14ac:dyDescent="0.25">
      <c r="A337" s="2" t="s">
        <v>3371</v>
      </c>
      <c r="B337" s="23" t="s">
        <v>3372</v>
      </c>
      <c r="C337" s="23"/>
      <c r="D337" s="23" t="s">
        <v>792</v>
      </c>
      <c r="E337" s="4" t="s">
        <v>2849</v>
      </c>
    </row>
    <row r="338" spans="1:5" x14ac:dyDescent="0.25">
      <c r="A338" s="2" t="s">
        <v>3373</v>
      </c>
      <c r="B338" s="23" t="s">
        <v>3374</v>
      </c>
      <c r="C338" s="23"/>
      <c r="D338" s="23" t="s">
        <v>792</v>
      </c>
      <c r="E338" s="4" t="s">
        <v>2849</v>
      </c>
    </row>
    <row r="339" spans="1:5" x14ac:dyDescent="0.25">
      <c r="A339" s="2" t="s">
        <v>3375</v>
      </c>
      <c r="B339" s="23" t="s">
        <v>3376</v>
      </c>
      <c r="C339" s="23"/>
      <c r="D339" s="23" t="s">
        <v>792</v>
      </c>
      <c r="E339" s="4" t="s">
        <v>2849</v>
      </c>
    </row>
    <row r="340" spans="1:5" x14ac:dyDescent="0.25">
      <c r="A340" s="2" t="s">
        <v>3377</v>
      </c>
      <c r="B340" s="23" t="s">
        <v>3378</v>
      </c>
      <c r="C340" s="23"/>
      <c r="D340" s="23" t="s">
        <v>792</v>
      </c>
      <c r="E340" s="4" t="s">
        <v>2849</v>
      </c>
    </row>
    <row r="341" spans="1:5" x14ac:dyDescent="0.25">
      <c r="A341" s="2" t="s">
        <v>922</v>
      </c>
      <c r="B341" s="23"/>
      <c r="C341" s="23" t="s">
        <v>923</v>
      </c>
      <c r="D341" s="23" t="s">
        <v>41</v>
      </c>
      <c r="E341" s="4" t="s">
        <v>2882</v>
      </c>
    </row>
    <row r="342" spans="1:5" x14ac:dyDescent="0.25">
      <c r="A342" s="2" t="s">
        <v>3379</v>
      </c>
      <c r="B342" s="23" t="s">
        <v>3380</v>
      </c>
      <c r="C342" s="23"/>
      <c r="D342" s="23" t="s">
        <v>844</v>
      </c>
      <c r="E342" s="4" t="s">
        <v>2849</v>
      </c>
    </row>
    <row r="343" spans="1:5" x14ac:dyDescent="0.25">
      <c r="A343" s="2" t="s">
        <v>3381</v>
      </c>
      <c r="B343" s="23" t="s">
        <v>3382</v>
      </c>
      <c r="C343" s="23"/>
      <c r="D343" s="23" t="s">
        <v>792</v>
      </c>
      <c r="E343" s="4" t="s">
        <v>2849</v>
      </c>
    </row>
    <row r="344" spans="1:5" x14ac:dyDescent="0.25">
      <c r="A344" s="2" t="s">
        <v>3383</v>
      </c>
      <c r="B344" s="23" t="s">
        <v>3380</v>
      </c>
      <c r="C344" s="23"/>
      <c r="D344" s="23" t="s">
        <v>844</v>
      </c>
      <c r="E344" s="4" t="s">
        <v>2849</v>
      </c>
    </row>
    <row r="345" spans="1:5" x14ac:dyDescent="0.25">
      <c r="A345" s="2" t="s">
        <v>3384</v>
      </c>
      <c r="B345" s="23" t="s">
        <v>3385</v>
      </c>
      <c r="C345" s="23"/>
      <c r="D345" s="23" t="s">
        <v>792</v>
      </c>
      <c r="E345" s="4" t="s">
        <v>2849</v>
      </c>
    </row>
    <row r="346" spans="1:5" x14ac:dyDescent="0.25">
      <c r="A346" s="2" t="s">
        <v>3386</v>
      </c>
      <c r="B346" s="23" t="s">
        <v>3387</v>
      </c>
      <c r="C346" s="23"/>
      <c r="D346" s="23" t="s">
        <v>792</v>
      </c>
      <c r="E346" s="4" t="s">
        <v>2849</v>
      </c>
    </row>
    <row r="347" spans="1:5" x14ac:dyDescent="0.25">
      <c r="A347" s="2" t="s">
        <v>3388</v>
      </c>
      <c r="B347" s="23" t="s">
        <v>3389</v>
      </c>
      <c r="C347" s="23"/>
      <c r="D347" s="23" t="s">
        <v>792</v>
      </c>
      <c r="E347" s="4" t="s">
        <v>2849</v>
      </c>
    </row>
    <row r="348" spans="1:5" x14ac:dyDescent="0.25">
      <c r="A348" s="2" t="s">
        <v>3390</v>
      </c>
      <c r="B348" s="23" t="s">
        <v>3391</v>
      </c>
      <c r="C348" s="23"/>
      <c r="D348" s="23" t="s">
        <v>844</v>
      </c>
      <c r="E348" s="4" t="s">
        <v>2849</v>
      </c>
    </row>
    <row r="349" spans="1:5" x14ac:dyDescent="0.25">
      <c r="A349" s="2" t="s">
        <v>3392</v>
      </c>
      <c r="B349" s="23" t="s">
        <v>3393</v>
      </c>
      <c r="C349" s="23"/>
      <c r="D349" s="23" t="s">
        <v>164</v>
      </c>
      <c r="E349" s="4" t="s">
        <v>2849</v>
      </c>
    </row>
    <row r="350" spans="1:5" x14ac:dyDescent="0.25">
      <c r="A350" s="2" t="s">
        <v>3394</v>
      </c>
      <c r="B350" s="23" t="s">
        <v>3395</v>
      </c>
      <c r="C350" s="23"/>
      <c r="D350" s="23" t="s">
        <v>164</v>
      </c>
      <c r="E350" s="4" t="s">
        <v>2849</v>
      </c>
    </row>
    <row r="351" spans="1:5" x14ac:dyDescent="0.25">
      <c r="A351" s="2" t="s">
        <v>3396</v>
      </c>
      <c r="B351" s="23" t="s">
        <v>3397</v>
      </c>
      <c r="C351" s="23"/>
      <c r="D351" s="23" t="s">
        <v>164</v>
      </c>
      <c r="E351" s="4" t="s">
        <v>2849</v>
      </c>
    </row>
    <row r="352" spans="1:5" x14ac:dyDescent="0.25">
      <c r="A352" s="2" t="s">
        <v>162</v>
      </c>
      <c r="B352" s="23" t="s">
        <v>3398</v>
      </c>
      <c r="C352" s="23" t="s">
        <v>163</v>
      </c>
      <c r="D352" s="23" t="s">
        <v>164</v>
      </c>
      <c r="E352" s="4" t="s">
        <v>2849</v>
      </c>
    </row>
    <row r="353" spans="1:5" x14ac:dyDescent="0.25">
      <c r="A353" s="2" t="s">
        <v>3399</v>
      </c>
      <c r="B353" s="23" t="s">
        <v>3400</v>
      </c>
      <c r="C353" s="23"/>
      <c r="D353" s="23" t="s">
        <v>3401</v>
      </c>
      <c r="E353" s="4" t="s">
        <v>2849</v>
      </c>
    </row>
    <row r="354" spans="1:5" x14ac:dyDescent="0.25">
      <c r="A354" s="2" t="s">
        <v>3402</v>
      </c>
      <c r="B354" s="23" t="s">
        <v>3403</v>
      </c>
      <c r="C354" s="23"/>
      <c r="D354" s="23" t="s">
        <v>3401</v>
      </c>
      <c r="E354" s="4" t="s">
        <v>2849</v>
      </c>
    </row>
    <row r="355" spans="1:5" x14ac:dyDescent="0.25">
      <c r="A355" s="2" t="s">
        <v>3404</v>
      </c>
      <c r="B355" s="23" t="s">
        <v>3405</v>
      </c>
      <c r="C355" s="23"/>
      <c r="D355" s="23" t="s">
        <v>3401</v>
      </c>
      <c r="E355" s="4" t="s">
        <v>2849</v>
      </c>
    </row>
    <row r="356" spans="1:5" x14ac:dyDescent="0.25">
      <c r="A356" s="2" t="s">
        <v>3406</v>
      </c>
      <c r="B356" s="23" t="s">
        <v>3407</v>
      </c>
      <c r="C356" s="23"/>
      <c r="D356" s="23" t="s">
        <v>3401</v>
      </c>
      <c r="E356" s="4" t="s">
        <v>2849</v>
      </c>
    </row>
    <row r="357" spans="1:5" x14ac:dyDescent="0.25">
      <c r="A357" s="2" t="s">
        <v>3408</v>
      </c>
      <c r="B357" s="23" t="s">
        <v>3409</v>
      </c>
      <c r="C357" s="23"/>
      <c r="D357" s="23" t="s">
        <v>3401</v>
      </c>
      <c r="E357" s="4" t="s">
        <v>2849</v>
      </c>
    </row>
    <row r="358" spans="1:5" x14ac:dyDescent="0.25">
      <c r="A358" s="2" t="s">
        <v>3410</v>
      </c>
      <c r="B358" s="23" t="s">
        <v>3411</v>
      </c>
      <c r="C358" s="23"/>
      <c r="D358" s="23" t="s">
        <v>3401</v>
      </c>
      <c r="E358" s="4" t="s">
        <v>2849</v>
      </c>
    </row>
    <row r="359" spans="1:5" x14ac:dyDescent="0.25">
      <c r="A359" s="2" t="s">
        <v>3412</v>
      </c>
      <c r="B359" s="23" t="s">
        <v>3413</v>
      </c>
      <c r="C359" s="23"/>
      <c r="D359" s="23" t="s">
        <v>3401</v>
      </c>
      <c r="E359" s="4" t="s">
        <v>2849</v>
      </c>
    </row>
    <row r="360" spans="1:5" x14ac:dyDescent="0.25">
      <c r="A360" s="2" t="s">
        <v>3414</v>
      </c>
      <c r="B360" s="23" t="s">
        <v>3415</v>
      </c>
      <c r="C360" s="23"/>
      <c r="D360" s="23" t="s">
        <v>3401</v>
      </c>
      <c r="E360" s="4" t="s">
        <v>2849</v>
      </c>
    </row>
    <row r="361" spans="1:5" x14ac:dyDescent="0.25">
      <c r="A361" s="2" t="s">
        <v>3416</v>
      </c>
      <c r="B361" s="23" t="s">
        <v>3417</v>
      </c>
      <c r="C361" s="23"/>
      <c r="D361" s="23" t="s">
        <v>3401</v>
      </c>
      <c r="E361" s="4" t="s">
        <v>2849</v>
      </c>
    </row>
    <row r="362" spans="1:5" x14ac:dyDescent="0.25">
      <c r="A362" s="2" t="s">
        <v>3418</v>
      </c>
      <c r="B362" s="23" t="s">
        <v>3419</v>
      </c>
      <c r="C362" s="23"/>
      <c r="D362" s="23" t="s">
        <v>3401</v>
      </c>
      <c r="E362" s="4" t="s">
        <v>2849</v>
      </c>
    </row>
    <row r="363" spans="1:5" x14ac:dyDescent="0.25">
      <c r="A363" s="2" t="s">
        <v>1142</v>
      </c>
      <c r="B363" s="23" t="s">
        <v>3420</v>
      </c>
      <c r="C363" s="23" t="s">
        <v>1143</v>
      </c>
      <c r="D363" s="23" t="s">
        <v>164</v>
      </c>
      <c r="E363" s="4" t="s">
        <v>2849</v>
      </c>
    </row>
    <row r="364" spans="1:5" x14ac:dyDescent="0.25">
      <c r="A364" s="2" t="s">
        <v>1135</v>
      </c>
      <c r="B364" s="23" t="s">
        <v>3421</v>
      </c>
      <c r="C364" s="23" t="s">
        <v>1136</v>
      </c>
      <c r="D364" s="23" t="s">
        <v>164</v>
      </c>
      <c r="E364" s="4" t="s">
        <v>2849</v>
      </c>
    </row>
    <row r="365" spans="1:5" x14ac:dyDescent="0.25">
      <c r="A365" s="2" t="s">
        <v>3422</v>
      </c>
      <c r="B365" s="23" t="s">
        <v>3423</v>
      </c>
      <c r="C365" s="23"/>
      <c r="D365" s="23" t="s">
        <v>3401</v>
      </c>
      <c r="E365" s="4" t="s">
        <v>2849</v>
      </c>
    </row>
    <row r="366" spans="1:5" x14ac:dyDescent="0.25">
      <c r="A366" s="2" t="s">
        <v>1156</v>
      </c>
      <c r="B366" s="23" t="s">
        <v>3424</v>
      </c>
      <c r="C366" s="23" t="s">
        <v>1157</v>
      </c>
      <c r="D366" s="23" t="s">
        <v>164</v>
      </c>
      <c r="E366" s="4" t="s">
        <v>2849</v>
      </c>
    </row>
    <row r="367" spans="1:5" x14ac:dyDescent="0.25">
      <c r="A367" s="2" t="s">
        <v>3425</v>
      </c>
      <c r="B367" s="23" t="s">
        <v>3426</v>
      </c>
      <c r="C367" s="23"/>
      <c r="D367" s="23" t="s">
        <v>164</v>
      </c>
      <c r="E367" s="4" t="s">
        <v>2849</v>
      </c>
    </row>
    <row r="368" spans="1:5" x14ac:dyDescent="0.25">
      <c r="A368" s="2" t="s">
        <v>1148</v>
      </c>
      <c r="B368" s="23" t="s">
        <v>3427</v>
      </c>
      <c r="C368" s="23" t="s">
        <v>1149</v>
      </c>
      <c r="D368" s="23" t="s">
        <v>164</v>
      </c>
      <c r="E368" s="4" t="s">
        <v>2849</v>
      </c>
    </row>
    <row r="369" spans="1:5" x14ac:dyDescent="0.25">
      <c r="A369" s="2" t="s">
        <v>1109</v>
      </c>
      <c r="B369" s="23" t="s">
        <v>1110</v>
      </c>
      <c r="C369" s="23"/>
      <c r="D369" s="23" t="s">
        <v>164</v>
      </c>
      <c r="E369" s="4" t="s">
        <v>2849</v>
      </c>
    </row>
    <row r="370" spans="1:5" x14ac:dyDescent="0.25">
      <c r="A370" s="2" t="s">
        <v>1107</v>
      </c>
      <c r="B370" s="23" t="s">
        <v>3428</v>
      </c>
      <c r="C370" s="23" t="s">
        <v>1108</v>
      </c>
      <c r="D370" s="23" t="s">
        <v>164</v>
      </c>
      <c r="E370" s="4" t="s">
        <v>2849</v>
      </c>
    </row>
    <row r="371" spans="1:5" x14ac:dyDescent="0.25">
      <c r="A371" s="2" t="s">
        <v>3429</v>
      </c>
      <c r="B371" s="23" t="s">
        <v>3430</v>
      </c>
      <c r="C371" s="23"/>
      <c r="D371" s="23" t="s">
        <v>164</v>
      </c>
      <c r="E371" s="4" t="s">
        <v>2849</v>
      </c>
    </row>
    <row r="372" spans="1:5" x14ac:dyDescent="0.25">
      <c r="A372" s="2" t="s">
        <v>3431</v>
      </c>
      <c r="B372" s="23" t="s">
        <v>3432</v>
      </c>
      <c r="C372" s="23"/>
      <c r="D372" s="23" t="s">
        <v>164</v>
      </c>
      <c r="E372" s="4" t="s">
        <v>2849</v>
      </c>
    </row>
    <row r="373" spans="1:5" x14ac:dyDescent="0.25">
      <c r="A373" s="2" t="s">
        <v>3433</v>
      </c>
      <c r="B373" s="23" t="s">
        <v>3434</v>
      </c>
      <c r="C373" s="23"/>
      <c r="D373" s="23" t="s">
        <v>164</v>
      </c>
      <c r="E373" s="4" t="s">
        <v>2849</v>
      </c>
    </row>
    <row r="374" spans="1:5" x14ac:dyDescent="0.25">
      <c r="A374" s="2" t="s">
        <v>3435</v>
      </c>
      <c r="B374" s="23" t="s">
        <v>3436</v>
      </c>
      <c r="C374" s="23"/>
      <c r="D374" s="23" t="s">
        <v>164</v>
      </c>
      <c r="E374" s="4" t="s">
        <v>2849</v>
      </c>
    </row>
    <row r="375" spans="1:5" x14ac:dyDescent="0.25">
      <c r="A375" s="2" t="s">
        <v>2205</v>
      </c>
      <c r="B375" s="23" t="s">
        <v>3437</v>
      </c>
      <c r="C375" s="23" t="s">
        <v>2206</v>
      </c>
      <c r="D375" s="23" t="s">
        <v>164</v>
      </c>
      <c r="E375" s="4" t="s">
        <v>2849</v>
      </c>
    </row>
    <row r="376" spans="1:5" x14ac:dyDescent="0.25">
      <c r="A376" s="2" t="s">
        <v>1101</v>
      </c>
      <c r="B376" s="23" t="s">
        <v>3438</v>
      </c>
      <c r="C376" s="23" t="s">
        <v>1102</v>
      </c>
      <c r="D376" s="23" t="s">
        <v>164</v>
      </c>
      <c r="E376" s="4" t="s">
        <v>2849</v>
      </c>
    </row>
    <row r="377" spans="1:5" x14ac:dyDescent="0.25">
      <c r="A377" s="2" t="s">
        <v>3439</v>
      </c>
      <c r="B377" s="23" t="s">
        <v>3440</v>
      </c>
      <c r="C377" s="23"/>
      <c r="D377" s="23" t="s">
        <v>164</v>
      </c>
      <c r="E377" s="4" t="s">
        <v>2849</v>
      </c>
    </row>
    <row r="378" spans="1:5" x14ac:dyDescent="0.25">
      <c r="A378" s="2" t="s">
        <v>1096</v>
      </c>
      <c r="B378" s="23" t="s">
        <v>1097</v>
      </c>
      <c r="C378" s="23"/>
      <c r="D378" s="23" t="s">
        <v>164</v>
      </c>
      <c r="E378" s="4" t="s">
        <v>2849</v>
      </c>
    </row>
    <row r="379" spans="1:5" x14ac:dyDescent="0.25">
      <c r="A379" s="2" t="s">
        <v>3441</v>
      </c>
      <c r="B379" s="23" t="s">
        <v>3442</v>
      </c>
      <c r="C379" s="23"/>
      <c r="D379" s="23" t="s">
        <v>164</v>
      </c>
      <c r="E379" s="4" t="s">
        <v>2849</v>
      </c>
    </row>
    <row r="380" spans="1:5" x14ac:dyDescent="0.25">
      <c r="A380" s="2" t="s">
        <v>1093</v>
      </c>
      <c r="B380" s="23" t="s">
        <v>3443</v>
      </c>
      <c r="C380" s="23" t="s">
        <v>1094</v>
      </c>
      <c r="D380" s="23" t="s">
        <v>164</v>
      </c>
      <c r="E380" s="4" t="s">
        <v>2849</v>
      </c>
    </row>
    <row r="381" spans="1:5" x14ac:dyDescent="0.25">
      <c r="A381" s="2" t="s">
        <v>3444</v>
      </c>
      <c r="B381" s="23" t="s">
        <v>3445</v>
      </c>
      <c r="C381" s="23"/>
      <c r="D381" s="23" t="s">
        <v>164</v>
      </c>
      <c r="E381" s="4" t="s">
        <v>2849</v>
      </c>
    </row>
    <row r="382" spans="1:5" x14ac:dyDescent="0.25">
      <c r="A382" s="2" t="s">
        <v>3446</v>
      </c>
      <c r="B382" s="23" t="s">
        <v>3447</v>
      </c>
      <c r="C382" s="23"/>
      <c r="D382" s="23" t="s">
        <v>164</v>
      </c>
      <c r="E382" s="4" t="s">
        <v>2849</v>
      </c>
    </row>
    <row r="383" spans="1:5" x14ac:dyDescent="0.25">
      <c r="A383" s="2" t="s">
        <v>3448</v>
      </c>
      <c r="B383" s="23" t="s">
        <v>3449</v>
      </c>
      <c r="C383" s="23"/>
      <c r="D383" s="23" t="s">
        <v>164</v>
      </c>
      <c r="E383" s="4" t="s">
        <v>2849</v>
      </c>
    </row>
    <row r="384" spans="1:5" x14ac:dyDescent="0.25">
      <c r="A384" s="2" t="s">
        <v>3450</v>
      </c>
      <c r="B384" s="23" t="s">
        <v>3451</v>
      </c>
      <c r="C384" s="23"/>
      <c r="D384" s="23" t="s">
        <v>164</v>
      </c>
      <c r="E384" s="4" t="s">
        <v>2849</v>
      </c>
    </row>
    <row r="385" spans="1:5" x14ac:dyDescent="0.25">
      <c r="A385" s="2" t="s">
        <v>3452</v>
      </c>
      <c r="B385" s="23" t="s">
        <v>3453</v>
      </c>
      <c r="C385" s="23"/>
      <c r="D385" s="23" t="s">
        <v>164</v>
      </c>
      <c r="E385" s="4" t="s">
        <v>2849</v>
      </c>
    </row>
    <row r="386" spans="1:5" x14ac:dyDescent="0.25">
      <c r="A386" s="2" t="s">
        <v>1172</v>
      </c>
      <c r="B386" s="23" t="s">
        <v>3454</v>
      </c>
      <c r="C386" s="23" t="s">
        <v>1173</v>
      </c>
      <c r="D386" s="23" t="s">
        <v>164</v>
      </c>
      <c r="E386" s="4" t="s">
        <v>2849</v>
      </c>
    </row>
    <row r="387" spans="1:5" x14ac:dyDescent="0.25">
      <c r="A387" s="2" t="s">
        <v>3455</v>
      </c>
      <c r="B387" s="23" t="s">
        <v>3456</v>
      </c>
      <c r="C387" s="23"/>
      <c r="D387" s="23" t="s">
        <v>164</v>
      </c>
      <c r="E387" s="4" t="s">
        <v>2849</v>
      </c>
    </row>
    <row r="388" spans="1:5" x14ac:dyDescent="0.25">
      <c r="A388" s="2" t="s">
        <v>3457</v>
      </c>
      <c r="B388" s="23" t="s">
        <v>3458</v>
      </c>
      <c r="C388" s="23"/>
      <c r="D388" s="23" t="s">
        <v>3401</v>
      </c>
      <c r="E388" s="4" t="s">
        <v>2849</v>
      </c>
    </row>
    <row r="389" spans="1:5" x14ac:dyDescent="0.25">
      <c r="A389" s="2" t="s">
        <v>3459</v>
      </c>
      <c r="B389" s="23" t="s">
        <v>3460</v>
      </c>
      <c r="C389" s="23"/>
      <c r="D389" s="23" t="s">
        <v>164</v>
      </c>
      <c r="E389" s="4" t="s">
        <v>2849</v>
      </c>
    </row>
    <row r="390" spans="1:5" x14ac:dyDescent="0.25">
      <c r="A390" s="2" t="s">
        <v>1474</v>
      </c>
      <c r="B390" s="23" t="s">
        <v>3461</v>
      </c>
      <c r="C390" s="23" t="s">
        <v>1475</v>
      </c>
      <c r="D390" s="23" t="s">
        <v>164</v>
      </c>
      <c r="E390" s="4" t="s">
        <v>2849</v>
      </c>
    </row>
    <row r="391" spans="1:5" x14ac:dyDescent="0.25">
      <c r="A391" s="2" t="s">
        <v>1051</v>
      </c>
      <c r="B391" s="23" t="s">
        <v>3462</v>
      </c>
      <c r="C391" s="23" t="s">
        <v>1131</v>
      </c>
      <c r="D391" s="23" t="s">
        <v>148</v>
      </c>
      <c r="E391" s="4" t="s">
        <v>2849</v>
      </c>
    </row>
    <row r="392" spans="1:5" x14ac:dyDescent="0.25">
      <c r="A392" s="2" t="s">
        <v>3463</v>
      </c>
      <c r="B392" s="23" t="s">
        <v>3464</v>
      </c>
      <c r="C392" s="23"/>
      <c r="D392" s="23" t="s">
        <v>148</v>
      </c>
      <c r="E392" s="4" t="s">
        <v>2849</v>
      </c>
    </row>
    <row r="393" spans="1:5" x14ac:dyDescent="0.25">
      <c r="A393" s="2" t="s">
        <v>3465</v>
      </c>
      <c r="B393" s="23" t="s">
        <v>3466</v>
      </c>
      <c r="C393" s="23"/>
      <c r="D393" s="23" t="s">
        <v>148</v>
      </c>
      <c r="E393" s="4" t="s">
        <v>2849</v>
      </c>
    </row>
    <row r="394" spans="1:5" x14ac:dyDescent="0.25">
      <c r="A394" s="2" t="s">
        <v>3467</v>
      </c>
      <c r="B394" s="23" t="s">
        <v>3468</v>
      </c>
      <c r="C394" s="23"/>
      <c r="D394" s="23" t="s">
        <v>148</v>
      </c>
      <c r="E394" s="4" t="s">
        <v>2849</v>
      </c>
    </row>
    <row r="395" spans="1:5" x14ac:dyDescent="0.25">
      <c r="A395" s="2" t="s">
        <v>3469</v>
      </c>
      <c r="B395" s="23" t="s">
        <v>3470</v>
      </c>
      <c r="C395" s="23"/>
      <c r="D395" s="23" t="s">
        <v>148</v>
      </c>
      <c r="E395" s="4" t="s">
        <v>2849</v>
      </c>
    </row>
    <row r="396" spans="1:5" x14ac:dyDescent="0.25">
      <c r="A396" s="2" t="s">
        <v>1190</v>
      </c>
      <c r="B396" s="23" t="s">
        <v>3471</v>
      </c>
      <c r="C396" s="23" t="s">
        <v>1191</v>
      </c>
      <c r="D396" s="23" t="s">
        <v>148</v>
      </c>
      <c r="E396" s="4" t="s">
        <v>2849</v>
      </c>
    </row>
    <row r="397" spans="1:5" x14ac:dyDescent="0.25">
      <c r="A397" s="2" t="s">
        <v>3472</v>
      </c>
      <c r="B397" s="23" t="s">
        <v>3473</v>
      </c>
      <c r="C397" s="23"/>
      <c r="D397" s="23" t="s">
        <v>148</v>
      </c>
      <c r="E397" s="4" t="s">
        <v>2849</v>
      </c>
    </row>
    <row r="398" spans="1:5" x14ac:dyDescent="0.25">
      <c r="A398" s="2" t="s">
        <v>1125</v>
      </c>
      <c r="B398" s="23" t="s">
        <v>3474</v>
      </c>
      <c r="C398" s="23" t="s">
        <v>1126</v>
      </c>
      <c r="D398" s="23" t="s">
        <v>148</v>
      </c>
      <c r="E398" s="4" t="s">
        <v>2849</v>
      </c>
    </row>
    <row r="399" spans="1:5" x14ac:dyDescent="0.25">
      <c r="A399" s="2" t="s">
        <v>3475</v>
      </c>
      <c r="B399" s="23" t="s">
        <v>3476</v>
      </c>
      <c r="C399" s="23"/>
      <c r="D399" s="23" t="s">
        <v>148</v>
      </c>
      <c r="E399" s="4" t="s">
        <v>2849</v>
      </c>
    </row>
    <row r="400" spans="1:5" x14ac:dyDescent="0.25">
      <c r="A400" s="2" t="s">
        <v>1120</v>
      </c>
      <c r="B400" s="23" t="s">
        <v>1121</v>
      </c>
      <c r="C400" s="23"/>
      <c r="D400" s="23" t="s">
        <v>148</v>
      </c>
      <c r="E400" s="4" t="s">
        <v>2849</v>
      </c>
    </row>
    <row r="401" spans="1:5" x14ac:dyDescent="0.25">
      <c r="A401" s="2" t="s">
        <v>3477</v>
      </c>
      <c r="B401" s="23" t="s">
        <v>3478</v>
      </c>
      <c r="C401" s="23"/>
      <c r="D401" s="23" t="s">
        <v>148</v>
      </c>
      <c r="E401" s="4" t="s">
        <v>2849</v>
      </c>
    </row>
    <row r="402" spans="1:5" x14ac:dyDescent="0.25">
      <c r="A402" s="2" t="s">
        <v>3479</v>
      </c>
      <c r="B402" s="23" t="s">
        <v>3480</v>
      </c>
      <c r="C402" s="23"/>
      <c r="D402" s="23" t="s">
        <v>148</v>
      </c>
      <c r="E402" s="4" t="s">
        <v>2849</v>
      </c>
    </row>
    <row r="403" spans="1:5" x14ac:dyDescent="0.25">
      <c r="A403" s="2" t="s">
        <v>3481</v>
      </c>
      <c r="B403" s="23" t="s">
        <v>3482</v>
      </c>
      <c r="C403" s="23"/>
      <c r="D403" s="23" t="s">
        <v>148</v>
      </c>
      <c r="E403" s="4" t="s">
        <v>2849</v>
      </c>
    </row>
    <row r="404" spans="1:5" x14ac:dyDescent="0.25">
      <c r="A404" s="2" t="s">
        <v>3483</v>
      </c>
      <c r="B404" s="23" t="s">
        <v>3484</v>
      </c>
      <c r="C404" s="23"/>
      <c r="D404" s="23" t="s">
        <v>148</v>
      </c>
      <c r="E404" s="4" t="s">
        <v>2849</v>
      </c>
    </row>
    <row r="405" spans="1:5" x14ac:dyDescent="0.25">
      <c r="A405" s="2" t="s">
        <v>3485</v>
      </c>
      <c r="B405" s="23" t="s">
        <v>3486</v>
      </c>
      <c r="C405" s="23"/>
      <c r="D405" s="23" t="s">
        <v>148</v>
      </c>
      <c r="E405" s="4" t="s">
        <v>2849</v>
      </c>
    </row>
    <row r="406" spans="1:5" x14ac:dyDescent="0.25">
      <c r="A406" s="2" t="s">
        <v>146</v>
      </c>
      <c r="B406" s="23" t="s">
        <v>3487</v>
      </c>
      <c r="C406" s="23" t="s">
        <v>147</v>
      </c>
      <c r="D406" s="23" t="s">
        <v>148</v>
      </c>
      <c r="E406" s="4" t="s">
        <v>2849</v>
      </c>
    </row>
    <row r="407" spans="1:5" x14ac:dyDescent="0.25">
      <c r="A407" s="2" t="s">
        <v>1502</v>
      </c>
      <c r="B407" s="23" t="s">
        <v>3488</v>
      </c>
      <c r="C407" s="23" t="s">
        <v>1503</v>
      </c>
      <c r="D407" s="23" t="s">
        <v>148</v>
      </c>
      <c r="E407" s="4" t="s">
        <v>2849</v>
      </c>
    </row>
    <row r="408" spans="1:5" x14ac:dyDescent="0.25">
      <c r="A408" s="2" t="s">
        <v>3489</v>
      </c>
      <c r="B408" s="23" t="s">
        <v>3490</v>
      </c>
      <c r="C408" s="23"/>
      <c r="D408" s="23" t="s">
        <v>148</v>
      </c>
      <c r="E408" s="4" t="s">
        <v>2849</v>
      </c>
    </row>
    <row r="409" spans="1:5" x14ac:dyDescent="0.25">
      <c r="A409" s="2" t="s">
        <v>3491</v>
      </c>
      <c r="B409" s="23" t="s">
        <v>3492</v>
      </c>
      <c r="C409" s="23"/>
      <c r="D409" s="23" t="s">
        <v>148</v>
      </c>
      <c r="E409" s="4" t="s">
        <v>2849</v>
      </c>
    </row>
    <row r="410" spans="1:5" x14ac:dyDescent="0.25">
      <c r="A410" s="2" t="s">
        <v>3493</v>
      </c>
      <c r="B410" s="23" t="s">
        <v>3494</v>
      </c>
      <c r="C410" s="23"/>
      <c r="D410" s="23" t="s">
        <v>148</v>
      </c>
      <c r="E410" s="4" t="s">
        <v>2849</v>
      </c>
    </row>
    <row r="411" spans="1:5" x14ac:dyDescent="0.25">
      <c r="A411" s="2" t="s">
        <v>3495</v>
      </c>
      <c r="B411" s="23" t="s">
        <v>3496</v>
      </c>
      <c r="C411" s="23"/>
      <c r="D411" s="23" t="s">
        <v>148</v>
      </c>
      <c r="E411" s="4" t="s">
        <v>2849</v>
      </c>
    </row>
    <row r="412" spans="1:5" x14ac:dyDescent="0.25">
      <c r="A412" s="2" t="s">
        <v>3497</v>
      </c>
      <c r="B412" s="23" t="s">
        <v>3498</v>
      </c>
      <c r="C412" s="23"/>
      <c r="D412" s="23" t="s">
        <v>148</v>
      </c>
      <c r="E412" s="4" t="s">
        <v>2849</v>
      </c>
    </row>
    <row r="413" spans="1:5" x14ac:dyDescent="0.25">
      <c r="A413" s="2" t="s">
        <v>3499</v>
      </c>
      <c r="B413" s="23" t="s">
        <v>3500</v>
      </c>
      <c r="C413" s="23"/>
      <c r="D413" s="23" t="s">
        <v>148</v>
      </c>
      <c r="E413" s="4" t="s">
        <v>2849</v>
      </c>
    </row>
    <row r="414" spans="1:5" x14ac:dyDescent="0.25">
      <c r="A414" s="2" t="s">
        <v>3501</v>
      </c>
      <c r="B414" s="23" t="s">
        <v>3502</v>
      </c>
      <c r="C414" s="23"/>
      <c r="D414" s="23" t="s">
        <v>148</v>
      </c>
      <c r="E414" s="4" t="s">
        <v>2849</v>
      </c>
    </row>
    <row r="415" spans="1:5" x14ac:dyDescent="0.25">
      <c r="A415" s="2" t="s">
        <v>3503</v>
      </c>
      <c r="B415" s="23" t="s">
        <v>3504</v>
      </c>
      <c r="C415" s="23"/>
      <c r="D415" s="23" t="s">
        <v>148</v>
      </c>
      <c r="E415" s="4" t="s">
        <v>2849</v>
      </c>
    </row>
    <row r="416" spans="1:5" x14ac:dyDescent="0.25">
      <c r="A416" s="2" t="s">
        <v>3505</v>
      </c>
      <c r="B416" s="23" t="s">
        <v>3506</v>
      </c>
      <c r="C416" s="23"/>
      <c r="D416" s="23" t="s">
        <v>164</v>
      </c>
      <c r="E416" s="4" t="s">
        <v>2849</v>
      </c>
    </row>
    <row r="417" spans="1:5" x14ac:dyDescent="0.25">
      <c r="A417" s="2" t="s">
        <v>3507</v>
      </c>
      <c r="B417" s="23" t="s">
        <v>3508</v>
      </c>
      <c r="C417" s="23"/>
      <c r="D417" s="23" t="s">
        <v>164</v>
      </c>
      <c r="E417" s="4" t="s">
        <v>2849</v>
      </c>
    </row>
    <row r="418" spans="1:5" x14ac:dyDescent="0.25">
      <c r="A418" s="2" t="s">
        <v>3509</v>
      </c>
      <c r="B418" s="23" t="s">
        <v>3510</v>
      </c>
      <c r="C418" s="23"/>
      <c r="D418" s="23" t="s">
        <v>164</v>
      </c>
      <c r="E418" s="4" t="s">
        <v>2849</v>
      </c>
    </row>
    <row r="419" spans="1:5" x14ac:dyDescent="0.25">
      <c r="A419" s="2" t="s">
        <v>3511</v>
      </c>
      <c r="B419" s="23" t="s">
        <v>3512</v>
      </c>
      <c r="C419" s="23"/>
      <c r="D419" s="23" t="s">
        <v>164</v>
      </c>
      <c r="E419" s="4" t="s">
        <v>2849</v>
      </c>
    </row>
    <row r="420" spans="1:5" x14ac:dyDescent="0.25">
      <c r="A420" s="2" t="s">
        <v>2261</v>
      </c>
      <c r="B420" s="23" t="s">
        <v>3513</v>
      </c>
      <c r="C420" s="23" t="s">
        <v>2262</v>
      </c>
      <c r="D420" s="23" t="s">
        <v>164</v>
      </c>
      <c r="E420" s="4" t="s">
        <v>2849</v>
      </c>
    </row>
    <row r="421" spans="1:5" x14ac:dyDescent="0.25">
      <c r="A421" s="2" t="s">
        <v>1137</v>
      </c>
      <c r="B421" s="23" t="s">
        <v>1138</v>
      </c>
      <c r="C421" s="23"/>
      <c r="D421" s="23" t="s">
        <v>164</v>
      </c>
      <c r="E421" s="4" t="s">
        <v>2849</v>
      </c>
    </row>
    <row r="422" spans="1:5" x14ac:dyDescent="0.25">
      <c r="A422" s="2" t="s">
        <v>3514</v>
      </c>
      <c r="B422" s="23" t="s">
        <v>3515</v>
      </c>
      <c r="C422" s="23"/>
      <c r="D422" s="23" t="s">
        <v>164</v>
      </c>
      <c r="E422" s="4" t="s">
        <v>2849</v>
      </c>
    </row>
    <row r="423" spans="1:5" x14ac:dyDescent="0.25">
      <c r="A423" s="2" t="s">
        <v>3516</v>
      </c>
      <c r="B423" s="23" t="s">
        <v>3517</v>
      </c>
      <c r="C423" s="23"/>
      <c r="D423" s="23" t="s">
        <v>148</v>
      </c>
      <c r="E423" s="4" t="s">
        <v>2849</v>
      </c>
    </row>
    <row r="424" spans="1:5" x14ac:dyDescent="0.25">
      <c r="A424" s="2" t="s">
        <v>3518</v>
      </c>
      <c r="B424" s="23" t="s">
        <v>3519</v>
      </c>
      <c r="C424" s="23"/>
      <c r="D424" s="23" t="s">
        <v>3401</v>
      </c>
      <c r="E424" s="4" t="s">
        <v>2849</v>
      </c>
    </row>
    <row r="425" spans="1:5" x14ac:dyDescent="0.25">
      <c r="A425" s="2" t="s">
        <v>3520</v>
      </c>
      <c r="B425" s="23" t="s">
        <v>3521</v>
      </c>
      <c r="C425" s="23"/>
      <c r="D425" s="23" t="s">
        <v>3401</v>
      </c>
      <c r="E425" s="4" t="s">
        <v>2849</v>
      </c>
    </row>
    <row r="426" spans="1:5" x14ac:dyDescent="0.25">
      <c r="A426" s="2" t="s">
        <v>3522</v>
      </c>
      <c r="B426" s="23" t="s">
        <v>3523</v>
      </c>
      <c r="C426" s="23"/>
      <c r="D426" s="23" t="s">
        <v>3524</v>
      </c>
      <c r="E426" s="4" t="s">
        <v>2849</v>
      </c>
    </row>
    <row r="427" spans="1:5" x14ac:dyDescent="0.25">
      <c r="A427" s="2" t="s">
        <v>3525</v>
      </c>
      <c r="B427" s="23" t="s">
        <v>3526</v>
      </c>
      <c r="C427" s="23"/>
      <c r="D427" s="23" t="s">
        <v>3524</v>
      </c>
      <c r="E427" s="4" t="s">
        <v>2849</v>
      </c>
    </row>
    <row r="428" spans="1:5" x14ac:dyDescent="0.25">
      <c r="A428" s="2" t="s">
        <v>3527</v>
      </c>
      <c r="B428" s="23" t="s">
        <v>3528</v>
      </c>
      <c r="C428" s="23"/>
      <c r="D428" s="23" t="s">
        <v>3524</v>
      </c>
      <c r="E428" s="4" t="s">
        <v>2849</v>
      </c>
    </row>
    <row r="429" spans="1:5" x14ac:dyDescent="0.25">
      <c r="A429" s="2" t="s">
        <v>3529</v>
      </c>
      <c r="B429" s="23" t="s">
        <v>3530</v>
      </c>
      <c r="C429" s="23"/>
      <c r="D429" s="23" t="s">
        <v>3524</v>
      </c>
      <c r="E429" s="4" t="s">
        <v>2849</v>
      </c>
    </row>
    <row r="430" spans="1:5" x14ac:dyDescent="0.25">
      <c r="A430" s="2" t="s">
        <v>3531</v>
      </c>
      <c r="B430" s="23" t="s">
        <v>3532</v>
      </c>
      <c r="C430" s="23"/>
      <c r="D430" s="23" t="s">
        <v>3524</v>
      </c>
      <c r="E430" s="4" t="s">
        <v>2849</v>
      </c>
    </row>
    <row r="431" spans="1:5" x14ac:dyDescent="0.25">
      <c r="A431" s="2" t="s">
        <v>3533</v>
      </c>
      <c r="B431" s="23" t="s">
        <v>3534</v>
      </c>
      <c r="C431" s="23"/>
      <c r="D431" s="23" t="s">
        <v>164</v>
      </c>
      <c r="E431" s="4" t="s">
        <v>2849</v>
      </c>
    </row>
    <row r="432" spans="1:5" x14ac:dyDescent="0.25">
      <c r="A432" s="2" t="s">
        <v>3535</v>
      </c>
      <c r="B432" s="23" t="s">
        <v>3536</v>
      </c>
      <c r="C432" s="23"/>
      <c r="D432" s="23" t="s">
        <v>164</v>
      </c>
      <c r="E432" s="4" t="s">
        <v>2849</v>
      </c>
    </row>
    <row r="433" spans="1:5" x14ac:dyDescent="0.25">
      <c r="A433" s="2" t="s">
        <v>3537</v>
      </c>
      <c r="B433" s="23" t="s">
        <v>3538</v>
      </c>
      <c r="C433" s="23"/>
      <c r="D433" s="23" t="s">
        <v>164</v>
      </c>
      <c r="E433" s="4" t="s">
        <v>2849</v>
      </c>
    </row>
    <row r="434" spans="1:5" x14ac:dyDescent="0.25">
      <c r="A434" s="2" t="s">
        <v>3539</v>
      </c>
      <c r="B434" s="23" t="s">
        <v>3540</v>
      </c>
      <c r="C434" s="23"/>
      <c r="D434" s="23" t="s">
        <v>3524</v>
      </c>
      <c r="E434" s="4" t="s">
        <v>2849</v>
      </c>
    </row>
    <row r="435" spans="1:5" x14ac:dyDescent="0.25">
      <c r="A435" s="2" t="s">
        <v>3541</v>
      </c>
      <c r="B435" s="23" t="s">
        <v>3542</v>
      </c>
      <c r="C435" s="23"/>
      <c r="D435" s="23" t="s">
        <v>1451</v>
      </c>
      <c r="E435" s="4" t="s">
        <v>2849</v>
      </c>
    </row>
    <row r="436" spans="1:5" x14ac:dyDescent="0.25">
      <c r="A436" s="2" t="s">
        <v>2099</v>
      </c>
      <c r="B436" s="23" t="s">
        <v>3543</v>
      </c>
      <c r="C436" s="23" t="s">
        <v>2100</v>
      </c>
      <c r="D436" s="23" t="s">
        <v>792</v>
      </c>
      <c r="E436" s="4" t="s">
        <v>2849</v>
      </c>
    </row>
    <row r="437" spans="1:5" x14ac:dyDescent="0.25">
      <c r="A437" s="2" t="s">
        <v>3544</v>
      </c>
      <c r="B437" s="23" t="s">
        <v>3545</v>
      </c>
      <c r="C437" s="23"/>
      <c r="D437" s="23" t="s">
        <v>164</v>
      </c>
      <c r="E437" s="4" t="s">
        <v>2849</v>
      </c>
    </row>
    <row r="438" spans="1:5" x14ac:dyDescent="0.25">
      <c r="A438" s="2" t="s">
        <v>3546</v>
      </c>
      <c r="B438" s="23" t="s">
        <v>3547</v>
      </c>
      <c r="C438" s="23"/>
      <c r="D438" s="23" t="s">
        <v>171</v>
      </c>
      <c r="E438" s="4" t="s">
        <v>2849</v>
      </c>
    </row>
    <row r="439" spans="1:5" x14ac:dyDescent="0.25">
      <c r="A439" s="2" t="s">
        <v>1720</v>
      </c>
      <c r="B439" s="23" t="s">
        <v>1721</v>
      </c>
      <c r="C439" s="23"/>
      <c r="D439" s="23" t="s">
        <v>1536</v>
      </c>
      <c r="E439" s="4" t="s">
        <v>2849</v>
      </c>
    </row>
    <row r="440" spans="1:5" x14ac:dyDescent="0.25">
      <c r="A440" s="2" t="s">
        <v>1731</v>
      </c>
      <c r="B440" s="23" t="s">
        <v>3548</v>
      </c>
      <c r="C440" s="23" t="s">
        <v>1732</v>
      </c>
      <c r="D440" s="23" t="s">
        <v>1536</v>
      </c>
      <c r="E440" s="4" t="s">
        <v>2849</v>
      </c>
    </row>
    <row r="441" spans="1:5" x14ac:dyDescent="0.25">
      <c r="A441" s="2" t="s">
        <v>1725</v>
      </c>
      <c r="B441" s="23" t="s">
        <v>3549</v>
      </c>
      <c r="C441" s="23" t="s">
        <v>1726</v>
      </c>
      <c r="D441" s="23" t="s">
        <v>1536</v>
      </c>
      <c r="E441" s="4" t="s">
        <v>2849</v>
      </c>
    </row>
    <row r="442" spans="1:5" x14ac:dyDescent="0.25">
      <c r="A442" s="2" t="s">
        <v>1534</v>
      </c>
      <c r="B442" s="23" t="s">
        <v>3550</v>
      </c>
      <c r="C442" s="23" t="s">
        <v>1719</v>
      </c>
      <c r="D442" s="23" t="s">
        <v>1536</v>
      </c>
      <c r="E442" s="4" t="s">
        <v>2849</v>
      </c>
    </row>
    <row r="443" spans="1:5" x14ac:dyDescent="0.25">
      <c r="A443" s="2" t="s">
        <v>1737</v>
      </c>
      <c r="B443" s="23" t="s">
        <v>1738</v>
      </c>
      <c r="C443" s="23"/>
      <c r="D443" s="23" t="s">
        <v>1536</v>
      </c>
      <c r="E443" s="4" t="s">
        <v>2849</v>
      </c>
    </row>
    <row r="444" spans="1:5" x14ac:dyDescent="0.25">
      <c r="A444" s="2" t="s">
        <v>1714</v>
      </c>
      <c r="B444" s="23" t="s">
        <v>1715</v>
      </c>
      <c r="C444" s="23"/>
      <c r="D444" s="23" t="s">
        <v>1536</v>
      </c>
      <c r="E444" s="4" t="s">
        <v>2849</v>
      </c>
    </row>
    <row r="445" spans="1:5" x14ac:dyDescent="0.25">
      <c r="A445" s="2" t="s">
        <v>172</v>
      </c>
      <c r="B445" s="23" t="s">
        <v>3551</v>
      </c>
      <c r="C445" s="23" t="s">
        <v>1566</v>
      </c>
      <c r="D445" s="23" t="s">
        <v>174</v>
      </c>
      <c r="E445" s="4" t="s">
        <v>2849</v>
      </c>
    </row>
    <row r="446" spans="1:5" x14ac:dyDescent="0.25">
      <c r="A446" s="2" t="s">
        <v>1332</v>
      </c>
      <c r="B446" s="23" t="s">
        <v>1333</v>
      </c>
      <c r="C446" s="23"/>
      <c r="D446" s="23" t="s">
        <v>1334</v>
      </c>
      <c r="E446" s="4" t="s">
        <v>2849</v>
      </c>
    </row>
    <row r="447" spans="1:5" x14ac:dyDescent="0.25">
      <c r="A447" s="2" t="s">
        <v>1321</v>
      </c>
      <c r="B447" s="23" t="s">
        <v>3552</v>
      </c>
      <c r="C447" s="23" t="s">
        <v>1578</v>
      </c>
      <c r="D447" s="23" t="s">
        <v>1323</v>
      </c>
      <c r="E447" s="4" t="s">
        <v>2849</v>
      </c>
    </row>
    <row r="448" spans="1:5" x14ac:dyDescent="0.25">
      <c r="A448" s="2" t="s">
        <v>1582</v>
      </c>
      <c r="B448" s="23" t="s">
        <v>3553</v>
      </c>
      <c r="C448" s="23" t="s">
        <v>1583</v>
      </c>
      <c r="D448" s="23" t="s">
        <v>1323</v>
      </c>
      <c r="E448" s="4" t="s">
        <v>2849</v>
      </c>
    </row>
    <row r="449" spans="1:5" x14ac:dyDescent="0.25">
      <c r="A449" s="2" t="s">
        <v>3554</v>
      </c>
      <c r="B449" s="23" t="s">
        <v>3555</v>
      </c>
      <c r="C449" s="23"/>
      <c r="D449" s="23" t="s">
        <v>1316</v>
      </c>
      <c r="E449" s="4" t="s">
        <v>2849</v>
      </c>
    </row>
    <row r="450" spans="1:5" x14ac:dyDescent="0.25">
      <c r="A450" s="2" t="s">
        <v>1266</v>
      </c>
      <c r="B450" s="23"/>
      <c r="C450" s="23" t="s">
        <v>1267</v>
      </c>
      <c r="D450" s="23" t="s">
        <v>41</v>
      </c>
      <c r="E450" s="4" t="s">
        <v>2882</v>
      </c>
    </row>
    <row r="451" spans="1:5" x14ac:dyDescent="0.25">
      <c r="A451" s="2" t="s">
        <v>3556</v>
      </c>
      <c r="B451" s="23" t="s">
        <v>3557</v>
      </c>
      <c r="C451" s="23"/>
      <c r="D451" s="23" t="s">
        <v>2848</v>
      </c>
      <c r="E451" s="4" t="s">
        <v>2849</v>
      </c>
    </row>
    <row r="452" spans="1:5" x14ac:dyDescent="0.25">
      <c r="A452" s="2" t="s">
        <v>3558</v>
      </c>
      <c r="B452" s="23" t="s">
        <v>3559</v>
      </c>
      <c r="C452" s="23"/>
      <c r="D452" s="23" t="s">
        <v>1316</v>
      </c>
      <c r="E452" s="4" t="s">
        <v>2849</v>
      </c>
    </row>
    <row r="453" spans="1:5" x14ac:dyDescent="0.25">
      <c r="A453" s="2" t="s">
        <v>3560</v>
      </c>
      <c r="B453" s="23" t="s">
        <v>3561</v>
      </c>
      <c r="C453" s="23"/>
      <c r="D453" s="23" t="s">
        <v>1316</v>
      </c>
      <c r="E453" s="4" t="s">
        <v>2849</v>
      </c>
    </row>
    <row r="454" spans="1:5" x14ac:dyDescent="0.25">
      <c r="A454" s="2" t="s">
        <v>3562</v>
      </c>
      <c r="B454" s="23" t="s">
        <v>3563</v>
      </c>
      <c r="C454" s="23"/>
      <c r="D454" s="23" t="s">
        <v>1316</v>
      </c>
      <c r="E454" s="4" t="s">
        <v>2849</v>
      </c>
    </row>
    <row r="455" spans="1:5" x14ac:dyDescent="0.25">
      <c r="A455" s="2" t="s">
        <v>1392</v>
      </c>
      <c r="B455" s="23" t="s">
        <v>3564</v>
      </c>
      <c r="C455" s="23" t="s">
        <v>1393</v>
      </c>
      <c r="D455" s="23" t="s">
        <v>1239</v>
      </c>
      <c r="E455" s="4" t="s">
        <v>2849</v>
      </c>
    </row>
    <row r="456" spans="1:5" x14ac:dyDescent="0.25">
      <c r="A456" s="2" t="s">
        <v>1237</v>
      </c>
      <c r="B456" s="23" t="s">
        <v>3565</v>
      </c>
      <c r="C456" s="23" t="s">
        <v>1238</v>
      </c>
      <c r="D456" s="23" t="s">
        <v>1239</v>
      </c>
      <c r="E456" s="4" t="s">
        <v>2849</v>
      </c>
    </row>
    <row r="457" spans="1:5" x14ac:dyDescent="0.25">
      <c r="A457" s="2" t="s">
        <v>1381</v>
      </c>
      <c r="B457" s="23" t="s">
        <v>1382</v>
      </c>
      <c r="C457" s="23"/>
      <c r="D457" s="23" t="s">
        <v>1239</v>
      </c>
      <c r="E457" s="4" t="s">
        <v>2849</v>
      </c>
    </row>
    <row r="458" spans="1:5" x14ac:dyDescent="0.25">
      <c r="A458" s="2" t="s">
        <v>1361</v>
      </c>
      <c r="B458" s="23" t="s">
        <v>3566</v>
      </c>
      <c r="C458" s="23" t="s">
        <v>1362</v>
      </c>
      <c r="D458" s="23" t="s">
        <v>1363</v>
      </c>
      <c r="E458" s="4" t="s">
        <v>2849</v>
      </c>
    </row>
    <row r="459" spans="1:5" x14ac:dyDescent="0.25">
      <c r="A459" s="2" t="s">
        <v>1314</v>
      </c>
      <c r="B459" s="23" t="s">
        <v>3567</v>
      </c>
      <c r="C459" s="23" t="s">
        <v>1320</v>
      </c>
      <c r="D459" s="23" t="s">
        <v>1316</v>
      </c>
      <c r="E459" s="4" t="s">
        <v>2849</v>
      </c>
    </row>
    <row r="460" spans="1:5" x14ac:dyDescent="0.25">
      <c r="A460" s="2" t="s">
        <v>1340</v>
      </c>
      <c r="B460" s="23" t="s">
        <v>3568</v>
      </c>
      <c r="C460" s="23" t="s">
        <v>1516</v>
      </c>
      <c r="D460" s="23" t="s">
        <v>1316</v>
      </c>
      <c r="E460" s="4" t="s">
        <v>2849</v>
      </c>
    </row>
    <row r="461" spans="1:5" x14ac:dyDescent="0.25">
      <c r="A461" s="2" t="s">
        <v>1769</v>
      </c>
      <c r="B461" s="23" t="s">
        <v>3569</v>
      </c>
      <c r="C461" s="23" t="s">
        <v>1770</v>
      </c>
      <c r="D461" s="23" t="s">
        <v>1316</v>
      </c>
      <c r="E461" s="4" t="s">
        <v>2849</v>
      </c>
    </row>
    <row r="462" spans="1:5" x14ac:dyDescent="0.25">
      <c r="A462" s="2" t="s">
        <v>3570</v>
      </c>
      <c r="B462" s="23" t="s">
        <v>3571</v>
      </c>
      <c r="C462" s="23"/>
      <c r="D462" s="23" t="s">
        <v>1316</v>
      </c>
      <c r="E462" s="4" t="s">
        <v>2849</v>
      </c>
    </row>
    <row r="463" spans="1:5" x14ac:dyDescent="0.25">
      <c r="A463" s="2" t="s">
        <v>3572</v>
      </c>
      <c r="B463" s="23" t="s">
        <v>3573</v>
      </c>
      <c r="C463" s="23"/>
      <c r="D463" s="23" t="s">
        <v>174</v>
      </c>
      <c r="E463" s="4" t="s">
        <v>2849</v>
      </c>
    </row>
    <row r="464" spans="1:5" x14ac:dyDescent="0.25">
      <c r="A464" s="2" t="s">
        <v>1369</v>
      </c>
      <c r="B464" s="23" t="s">
        <v>3574</v>
      </c>
      <c r="C464" s="23" t="s">
        <v>1370</v>
      </c>
      <c r="D464" s="23" t="s">
        <v>1372</v>
      </c>
      <c r="E464" s="4" t="s">
        <v>2849</v>
      </c>
    </row>
    <row r="465" spans="1:5" x14ac:dyDescent="0.25">
      <c r="A465" s="2" t="s">
        <v>3575</v>
      </c>
      <c r="B465" s="23" t="s">
        <v>3576</v>
      </c>
      <c r="C465" s="23"/>
      <c r="D465" s="23" t="s">
        <v>1372</v>
      </c>
      <c r="E465" s="4" t="s">
        <v>2849</v>
      </c>
    </row>
    <row r="466" spans="1:5" x14ac:dyDescent="0.25">
      <c r="A466" s="2" t="s">
        <v>1604</v>
      </c>
      <c r="B466" s="23" t="s">
        <v>1605</v>
      </c>
      <c r="C466" s="23"/>
      <c r="D466" s="23" t="s">
        <v>1363</v>
      </c>
      <c r="E466" s="4" t="s">
        <v>2849</v>
      </c>
    </row>
    <row r="467" spans="1:5" x14ac:dyDescent="0.25">
      <c r="A467" s="2" t="s">
        <v>1567</v>
      </c>
      <c r="B467" s="23" t="s">
        <v>1568</v>
      </c>
      <c r="C467" s="23"/>
      <c r="D467" s="23" t="s">
        <v>1363</v>
      </c>
      <c r="E467" s="4" t="s">
        <v>2849</v>
      </c>
    </row>
    <row r="468" spans="1:5" x14ac:dyDescent="0.25">
      <c r="A468" s="2" t="s">
        <v>3577</v>
      </c>
      <c r="B468" s="23" t="s">
        <v>3578</v>
      </c>
      <c r="C468" s="23"/>
      <c r="D468" s="23" t="s">
        <v>1334</v>
      </c>
      <c r="E468" s="4" t="s">
        <v>2849</v>
      </c>
    </row>
    <row r="469" spans="1:5" x14ac:dyDescent="0.25">
      <c r="A469" s="2" t="s">
        <v>1058</v>
      </c>
      <c r="B469" s="23" t="s">
        <v>3579</v>
      </c>
      <c r="C469" s="23" t="s">
        <v>1059</v>
      </c>
      <c r="D469" s="23" t="s">
        <v>171</v>
      </c>
      <c r="E469" s="4" t="s">
        <v>2849</v>
      </c>
    </row>
    <row r="470" spans="1:5" x14ac:dyDescent="0.25">
      <c r="A470" s="2" t="s">
        <v>1464</v>
      </c>
      <c r="B470" s="23" t="s">
        <v>3580</v>
      </c>
      <c r="C470" s="23" t="s">
        <v>1465</v>
      </c>
      <c r="D470" s="23" t="s">
        <v>171</v>
      </c>
      <c r="E470" s="4" t="s">
        <v>2849</v>
      </c>
    </row>
    <row r="471" spans="1:5" x14ac:dyDescent="0.25">
      <c r="A471" s="2" t="s">
        <v>1459</v>
      </c>
      <c r="B471" s="23" t="s">
        <v>1460</v>
      </c>
      <c r="C471" s="23"/>
      <c r="D471" s="23" t="s">
        <v>171</v>
      </c>
      <c r="E471" s="4" t="s">
        <v>2849</v>
      </c>
    </row>
    <row r="472" spans="1:5" x14ac:dyDescent="0.25">
      <c r="A472" s="2" t="s">
        <v>2158</v>
      </c>
      <c r="B472" s="23" t="s">
        <v>3581</v>
      </c>
      <c r="C472" s="23" t="s">
        <v>2159</v>
      </c>
      <c r="D472" s="23" t="s">
        <v>171</v>
      </c>
      <c r="E472" s="4" t="s">
        <v>2849</v>
      </c>
    </row>
    <row r="473" spans="1:5" x14ac:dyDescent="0.25">
      <c r="A473" s="2" t="s">
        <v>1345</v>
      </c>
      <c r="B473" s="23" t="s">
        <v>3582</v>
      </c>
      <c r="C473" s="23" t="s">
        <v>1346</v>
      </c>
      <c r="D473" s="23" t="s">
        <v>171</v>
      </c>
      <c r="E473" s="4" t="s">
        <v>2849</v>
      </c>
    </row>
    <row r="474" spans="1:5" x14ac:dyDescent="0.25">
      <c r="A474" s="2" t="s">
        <v>1215</v>
      </c>
      <c r="B474" s="23" t="s">
        <v>3583</v>
      </c>
      <c r="C474" s="23" t="s">
        <v>1216</v>
      </c>
      <c r="D474" s="23" t="s">
        <v>1218</v>
      </c>
      <c r="E474" s="4" t="s">
        <v>2849</v>
      </c>
    </row>
    <row r="475" spans="1:5" x14ac:dyDescent="0.25">
      <c r="A475" s="2" t="s">
        <v>1249</v>
      </c>
      <c r="B475" s="23" t="s">
        <v>3584</v>
      </c>
      <c r="C475" s="23" t="s">
        <v>1248</v>
      </c>
      <c r="D475" s="23" t="s">
        <v>1218</v>
      </c>
      <c r="E475" s="4" t="s">
        <v>2849</v>
      </c>
    </row>
    <row r="476" spans="1:5" x14ac:dyDescent="0.25">
      <c r="A476" s="2" t="s">
        <v>3585</v>
      </c>
      <c r="B476" s="23" t="s">
        <v>3586</v>
      </c>
      <c r="C476" s="23"/>
      <c r="D476" s="23" t="s">
        <v>594</v>
      </c>
      <c r="E476" s="4" t="s">
        <v>2849</v>
      </c>
    </row>
    <row r="477" spans="1:5" x14ac:dyDescent="0.25">
      <c r="A477" s="2" t="s">
        <v>592</v>
      </c>
      <c r="B477" s="23" t="s">
        <v>3587</v>
      </c>
      <c r="C477" s="23" t="s">
        <v>593</v>
      </c>
      <c r="D477" s="23" t="s">
        <v>594</v>
      </c>
      <c r="E477" s="4" t="s">
        <v>2849</v>
      </c>
    </row>
    <row r="478" spans="1:5" x14ac:dyDescent="0.25">
      <c r="A478" s="2" t="s">
        <v>1296</v>
      </c>
      <c r="B478" s="23" t="s">
        <v>1297</v>
      </c>
      <c r="C478" s="23"/>
      <c r="D478" s="23" t="s">
        <v>594</v>
      </c>
      <c r="E478" s="4" t="s">
        <v>2849</v>
      </c>
    </row>
    <row r="479" spans="1:5" x14ac:dyDescent="0.25">
      <c r="A479" s="2" t="s">
        <v>1653</v>
      </c>
      <c r="B479" s="23" t="s">
        <v>1654</v>
      </c>
      <c r="C479" s="23"/>
      <c r="D479" s="23" t="s">
        <v>138</v>
      </c>
      <c r="E479" s="4" t="s">
        <v>2849</v>
      </c>
    </row>
    <row r="480" spans="1:5" x14ac:dyDescent="0.25">
      <c r="A480" s="2" t="s">
        <v>3588</v>
      </c>
      <c r="B480" s="23" t="s">
        <v>3589</v>
      </c>
      <c r="C480" s="23"/>
      <c r="D480" s="23" t="s">
        <v>138</v>
      </c>
      <c r="E480" s="4" t="s">
        <v>2849</v>
      </c>
    </row>
    <row r="481" spans="1:5" x14ac:dyDescent="0.25">
      <c r="A481" s="2" t="s">
        <v>1261</v>
      </c>
      <c r="B481" s="23" t="s">
        <v>3590</v>
      </c>
      <c r="C481" s="23" t="s">
        <v>1262</v>
      </c>
      <c r="D481" s="23" t="s">
        <v>138</v>
      </c>
      <c r="E481" s="4" t="s">
        <v>2849</v>
      </c>
    </row>
    <row r="482" spans="1:5" x14ac:dyDescent="0.25">
      <c r="A482" s="2" t="s">
        <v>1626</v>
      </c>
      <c r="B482" s="23" t="s">
        <v>1627</v>
      </c>
      <c r="C482" s="23"/>
      <c r="D482" s="23" t="s">
        <v>594</v>
      </c>
      <c r="E482" s="4" t="s">
        <v>2849</v>
      </c>
    </row>
    <row r="483" spans="1:5" x14ac:dyDescent="0.25">
      <c r="A483" s="2" t="s">
        <v>1301</v>
      </c>
      <c r="B483" s="23" t="s">
        <v>3591</v>
      </c>
      <c r="C483" s="23" t="s">
        <v>1302</v>
      </c>
      <c r="D483" s="23" t="s">
        <v>2848</v>
      </c>
      <c r="E483" s="4" t="s">
        <v>2849</v>
      </c>
    </row>
    <row r="484" spans="1:5" x14ac:dyDescent="0.25">
      <c r="A484" s="2" t="s">
        <v>1813</v>
      </c>
      <c r="B484" s="23" t="s">
        <v>3592</v>
      </c>
      <c r="C484" s="23" t="s">
        <v>1814</v>
      </c>
      <c r="D484" s="23" t="s">
        <v>2848</v>
      </c>
      <c r="E484" s="4" t="s">
        <v>2849</v>
      </c>
    </row>
    <row r="485" spans="1:5" x14ac:dyDescent="0.25">
      <c r="A485" s="2" t="s">
        <v>1307</v>
      </c>
      <c r="B485" s="23" t="s">
        <v>3593</v>
      </c>
      <c r="C485" s="23" t="s">
        <v>1308</v>
      </c>
      <c r="D485" s="23" t="s">
        <v>2848</v>
      </c>
      <c r="E485" s="4" t="s">
        <v>2849</v>
      </c>
    </row>
    <row r="486" spans="1:5" x14ac:dyDescent="0.25">
      <c r="A486" s="2" t="s">
        <v>3594</v>
      </c>
      <c r="B486" s="23" t="s">
        <v>3595</v>
      </c>
      <c r="C486" s="23"/>
      <c r="D486" s="23" t="s">
        <v>2848</v>
      </c>
      <c r="E486" s="4" t="s">
        <v>2849</v>
      </c>
    </row>
    <row r="487" spans="1:5" x14ac:dyDescent="0.25">
      <c r="A487" s="2" t="s">
        <v>1532</v>
      </c>
      <c r="B487" s="23" t="s">
        <v>3596</v>
      </c>
      <c r="C487" s="23" t="s">
        <v>1533</v>
      </c>
      <c r="D487" s="23" t="s">
        <v>2848</v>
      </c>
      <c r="E487" s="4" t="s">
        <v>2849</v>
      </c>
    </row>
    <row r="488" spans="1:5" x14ac:dyDescent="0.25">
      <c r="A488" s="2" t="s">
        <v>3597</v>
      </c>
      <c r="B488" s="23" t="s">
        <v>3598</v>
      </c>
      <c r="C488" s="23"/>
      <c r="D488" s="23" t="s">
        <v>2848</v>
      </c>
      <c r="E488" s="4" t="s">
        <v>2849</v>
      </c>
    </row>
    <row r="489" spans="1:5" x14ac:dyDescent="0.25">
      <c r="A489" s="2" t="s">
        <v>3599</v>
      </c>
      <c r="B489" s="23" t="s">
        <v>3600</v>
      </c>
      <c r="C489" s="23"/>
      <c r="D489" s="23" t="s">
        <v>2848</v>
      </c>
      <c r="E489" s="4" t="s">
        <v>2849</v>
      </c>
    </row>
    <row r="490" spans="1:5" x14ac:dyDescent="0.25">
      <c r="A490" s="2" t="s">
        <v>1276</v>
      </c>
      <c r="B490" s="23" t="s">
        <v>3601</v>
      </c>
      <c r="C490" s="23" t="s">
        <v>1277</v>
      </c>
      <c r="D490" s="23" t="s">
        <v>2848</v>
      </c>
      <c r="E490" s="4" t="s">
        <v>2849</v>
      </c>
    </row>
    <row r="491" spans="1:5" x14ac:dyDescent="0.25">
      <c r="A491" s="2" t="s">
        <v>3602</v>
      </c>
      <c r="B491" s="23" t="s">
        <v>3603</v>
      </c>
      <c r="C491" s="23"/>
      <c r="D491" s="23" t="s">
        <v>2848</v>
      </c>
      <c r="E491" s="4" t="s">
        <v>2849</v>
      </c>
    </row>
    <row r="492" spans="1:5" x14ac:dyDescent="0.25">
      <c r="A492" s="2" t="s">
        <v>3604</v>
      </c>
      <c r="B492" s="23" t="s">
        <v>3605</v>
      </c>
      <c r="C492" s="23"/>
      <c r="D492" s="23" t="s">
        <v>2848</v>
      </c>
      <c r="E492" s="4" t="s">
        <v>2849</v>
      </c>
    </row>
    <row r="493" spans="1:5" x14ac:dyDescent="0.25">
      <c r="A493" s="2" t="s">
        <v>3606</v>
      </c>
      <c r="B493" s="23" t="s">
        <v>3607</v>
      </c>
      <c r="C493" s="23"/>
      <c r="D493" s="23" t="s">
        <v>2848</v>
      </c>
      <c r="E493" s="4" t="s">
        <v>2849</v>
      </c>
    </row>
    <row r="494" spans="1:5" x14ac:dyDescent="0.25">
      <c r="A494" s="2" t="s">
        <v>1540</v>
      </c>
      <c r="B494" s="23" t="s">
        <v>3608</v>
      </c>
      <c r="C494" s="23" t="s">
        <v>1541</v>
      </c>
      <c r="D494" s="23" t="s">
        <v>2848</v>
      </c>
      <c r="E494" s="4" t="s">
        <v>2849</v>
      </c>
    </row>
    <row r="495" spans="1:5" x14ac:dyDescent="0.25">
      <c r="A495" s="2" t="s">
        <v>3609</v>
      </c>
      <c r="B495" s="23" t="s">
        <v>3610</v>
      </c>
      <c r="C495" s="23"/>
      <c r="D495" s="23" t="s">
        <v>2848</v>
      </c>
      <c r="E495" s="4" t="s">
        <v>2849</v>
      </c>
    </row>
    <row r="496" spans="1:5" x14ac:dyDescent="0.25">
      <c r="A496" s="2" t="s">
        <v>3611</v>
      </c>
      <c r="B496" s="23" t="s">
        <v>3612</v>
      </c>
      <c r="C496" s="23"/>
      <c r="D496" s="23" t="s">
        <v>2848</v>
      </c>
      <c r="E496" s="4" t="s">
        <v>2849</v>
      </c>
    </row>
    <row r="497" spans="1:5" x14ac:dyDescent="0.25">
      <c r="A497" s="2" t="s">
        <v>3613</v>
      </c>
      <c r="B497" s="23" t="s">
        <v>3614</v>
      </c>
      <c r="C497" s="23"/>
      <c r="D497" s="23" t="s">
        <v>2848</v>
      </c>
      <c r="E497" s="4" t="s">
        <v>2849</v>
      </c>
    </row>
    <row r="498" spans="1:5" x14ac:dyDescent="0.25">
      <c r="A498" s="2" t="s">
        <v>3615</v>
      </c>
      <c r="B498" s="23" t="s">
        <v>3616</v>
      </c>
      <c r="C498" s="23"/>
      <c r="D498" s="23" t="s">
        <v>2848</v>
      </c>
      <c r="E498" s="4" t="s">
        <v>2849</v>
      </c>
    </row>
    <row r="499" spans="1:5" x14ac:dyDescent="0.25">
      <c r="A499" s="2" t="s">
        <v>3617</v>
      </c>
      <c r="B499" s="23" t="s">
        <v>3618</v>
      </c>
      <c r="C499" s="23"/>
      <c r="D499" s="23" t="s">
        <v>2848</v>
      </c>
      <c r="E499" s="4" t="s">
        <v>2849</v>
      </c>
    </row>
    <row r="500" spans="1:5" x14ac:dyDescent="0.25">
      <c r="A500" s="2" t="s">
        <v>3619</v>
      </c>
      <c r="B500" s="23" t="s">
        <v>3620</v>
      </c>
      <c r="C500" s="23"/>
      <c r="D500" s="23" t="s">
        <v>2848</v>
      </c>
      <c r="E500" s="4" t="s">
        <v>2849</v>
      </c>
    </row>
    <row r="501" spans="1:5" x14ac:dyDescent="0.25">
      <c r="A501" s="2" t="s">
        <v>3621</v>
      </c>
      <c r="B501" s="23" t="s">
        <v>3622</v>
      </c>
      <c r="C501" s="23"/>
      <c r="D501" s="23" t="s">
        <v>2848</v>
      </c>
      <c r="E501" s="4" t="s">
        <v>2849</v>
      </c>
    </row>
    <row r="502" spans="1:5" x14ac:dyDescent="0.25">
      <c r="A502" s="2" t="s">
        <v>3623</v>
      </c>
      <c r="B502" s="23" t="s">
        <v>3624</v>
      </c>
      <c r="C502" s="23"/>
      <c r="D502" s="23" t="s">
        <v>2848</v>
      </c>
      <c r="E502" s="4" t="s">
        <v>2849</v>
      </c>
    </row>
    <row r="503" spans="1:5" x14ac:dyDescent="0.25">
      <c r="A503" s="2" t="s">
        <v>3625</v>
      </c>
      <c r="B503" s="23" t="s">
        <v>3626</v>
      </c>
      <c r="C503" s="23"/>
      <c r="D503" s="23" t="s">
        <v>2848</v>
      </c>
      <c r="E503" s="4" t="s">
        <v>2849</v>
      </c>
    </row>
    <row r="504" spans="1:5" x14ac:dyDescent="0.25">
      <c r="A504" s="2" t="s">
        <v>38</v>
      </c>
      <c r="B504" s="23"/>
      <c r="C504" s="23" t="s">
        <v>39</v>
      </c>
      <c r="D504" s="23" t="s">
        <v>41</v>
      </c>
      <c r="E504" s="4" t="s">
        <v>2882</v>
      </c>
    </row>
    <row r="505" spans="1:5" x14ac:dyDescent="0.25">
      <c r="A505" s="2" t="s">
        <v>1984</v>
      </c>
      <c r="B505" s="23" t="s">
        <v>3627</v>
      </c>
      <c r="C505" s="23" t="s">
        <v>1985</v>
      </c>
      <c r="D505" s="23" t="s">
        <v>2848</v>
      </c>
      <c r="E505" s="4" t="s">
        <v>2849</v>
      </c>
    </row>
    <row r="506" spans="1:5" x14ac:dyDescent="0.25">
      <c r="A506" s="2" t="s">
        <v>1438</v>
      </c>
      <c r="B506" s="23" t="s">
        <v>1439</v>
      </c>
      <c r="C506" s="23"/>
      <c r="D506" s="23" t="s">
        <v>1424</v>
      </c>
      <c r="E506" s="4" t="s">
        <v>2849</v>
      </c>
    </row>
    <row r="507" spans="1:5" x14ac:dyDescent="0.25">
      <c r="A507" s="2" t="s">
        <v>3628</v>
      </c>
      <c r="B507" s="23" t="s">
        <v>3629</v>
      </c>
      <c r="C507" s="23"/>
      <c r="D507" s="23" t="s">
        <v>2848</v>
      </c>
      <c r="E507" s="4" t="s">
        <v>2849</v>
      </c>
    </row>
    <row r="508" spans="1:5" x14ac:dyDescent="0.25">
      <c r="A508" s="2" t="s">
        <v>3630</v>
      </c>
      <c r="B508" s="23" t="s">
        <v>3631</v>
      </c>
      <c r="C508" s="23"/>
      <c r="D508" s="23" t="s">
        <v>1424</v>
      </c>
      <c r="E508" s="4" t="s">
        <v>2849</v>
      </c>
    </row>
    <row r="509" spans="1:5" x14ac:dyDescent="0.25">
      <c r="A509" s="2" t="s">
        <v>3632</v>
      </c>
      <c r="B509" s="23" t="s">
        <v>3633</v>
      </c>
      <c r="C509" s="23"/>
      <c r="D509" s="23" t="s">
        <v>2848</v>
      </c>
      <c r="E509" s="4" t="s">
        <v>2849</v>
      </c>
    </row>
    <row r="510" spans="1:5" x14ac:dyDescent="0.25">
      <c r="A510" s="2" t="s">
        <v>3634</v>
      </c>
      <c r="B510" s="23" t="s">
        <v>3635</v>
      </c>
      <c r="C510" s="23"/>
      <c r="D510" s="23" t="s">
        <v>1424</v>
      </c>
      <c r="E510" s="4" t="s">
        <v>2849</v>
      </c>
    </row>
    <row r="511" spans="1:5" x14ac:dyDescent="0.25">
      <c r="A511" s="2" t="s">
        <v>1431</v>
      </c>
      <c r="B511" s="23" t="s">
        <v>3636</v>
      </c>
      <c r="C511" s="23" t="s">
        <v>1432</v>
      </c>
      <c r="D511" s="23" t="s">
        <v>1424</v>
      </c>
      <c r="E511" s="4" t="s">
        <v>2849</v>
      </c>
    </row>
    <row r="512" spans="1:5" x14ac:dyDescent="0.25">
      <c r="A512" s="2" t="s">
        <v>3637</v>
      </c>
      <c r="B512" s="23" t="s">
        <v>3638</v>
      </c>
      <c r="C512" s="23"/>
      <c r="D512" s="23" t="s">
        <v>2848</v>
      </c>
      <c r="E512" s="4" t="s">
        <v>2849</v>
      </c>
    </row>
    <row r="513" spans="1:5" x14ac:dyDescent="0.25">
      <c r="A513" s="2" t="s">
        <v>2006</v>
      </c>
      <c r="B513" s="23" t="s">
        <v>3639</v>
      </c>
      <c r="C513" s="23" t="s">
        <v>2007</v>
      </c>
      <c r="D513" s="23" t="s">
        <v>1424</v>
      </c>
      <c r="E513" s="4" t="s">
        <v>2849</v>
      </c>
    </row>
    <row r="514" spans="1:5" x14ac:dyDescent="0.25">
      <c r="A514" s="2" t="s">
        <v>3640</v>
      </c>
      <c r="B514" s="23" t="s">
        <v>3641</v>
      </c>
      <c r="C514" s="23"/>
      <c r="D514" s="23" t="s">
        <v>2848</v>
      </c>
      <c r="E514" s="4" t="s">
        <v>2849</v>
      </c>
    </row>
    <row r="515" spans="1:5" x14ac:dyDescent="0.25">
      <c r="A515" s="2" t="s">
        <v>3642</v>
      </c>
      <c r="B515" s="23" t="s">
        <v>3643</v>
      </c>
      <c r="C515" s="23"/>
      <c r="D515" s="23" t="s">
        <v>1424</v>
      </c>
      <c r="E515" s="4" t="s">
        <v>2849</v>
      </c>
    </row>
    <row r="516" spans="1:5" x14ac:dyDescent="0.25">
      <c r="A516" s="2" t="s">
        <v>3644</v>
      </c>
      <c r="B516" s="23" t="s">
        <v>3645</v>
      </c>
      <c r="C516" s="23"/>
      <c r="D516" s="23" t="s">
        <v>2848</v>
      </c>
      <c r="E516" s="4" t="s">
        <v>2849</v>
      </c>
    </row>
    <row r="517" spans="1:5" x14ac:dyDescent="0.25">
      <c r="A517" s="2" t="s">
        <v>3646</v>
      </c>
      <c r="B517" s="23" t="s">
        <v>3647</v>
      </c>
      <c r="C517" s="23"/>
      <c r="D517" s="23" t="s">
        <v>1424</v>
      </c>
      <c r="E517" s="4" t="s">
        <v>2849</v>
      </c>
    </row>
    <row r="518" spans="1:5" x14ac:dyDescent="0.25">
      <c r="A518" s="2" t="s">
        <v>3648</v>
      </c>
      <c r="B518" s="23" t="s">
        <v>3649</v>
      </c>
      <c r="C518" s="23"/>
      <c r="D518" s="23" t="s">
        <v>2848</v>
      </c>
      <c r="E518" s="4" t="s">
        <v>2849</v>
      </c>
    </row>
    <row r="519" spans="1:5" x14ac:dyDescent="0.25">
      <c r="A519" s="2" t="s">
        <v>2013</v>
      </c>
      <c r="B519" s="23" t="s">
        <v>3650</v>
      </c>
      <c r="C519" s="23" t="s">
        <v>2014</v>
      </c>
      <c r="D519" s="23" t="s">
        <v>1427</v>
      </c>
      <c r="E519" s="4" t="s">
        <v>2849</v>
      </c>
    </row>
    <row r="520" spans="1:5" x14ac:dyDescent="0.25">
      <c r="A520" s="2" t="s">
        <v>3651</v>
      </c>
      <c r="B520" s="23" t="s">
        <v>3652</v>
      </c>
      <c r="C520" s="23"/>
      <c r="D520" s="23" t="s">
        <v>2848</v>
      </c>
      <c r="E520" s="4" t="s">
        <v>2849</v>
      </c>
    </row>
    <row r="521" spans="1:5" x14ac:dyDescent="0.25">
      <c r="A521" s="2" t="s">
        <v>1421</v>
      </c>
      <c r="B521" s="23" t="s">
        <v>3653</v>
      </c>
      <c r="C521" s="23" t="s">
        <v>1422</v>
      </c>
      <c r="D521" s="23" t="s">
        <v>1424</v>
      </c>
      <c r="E521" s="4" t="s">
        <v>2849</v>
      </c>
    </row>
    <row r="522" spans="1:5" x14ac:dyDescent="0.25">
      <c r="A522" s="2" t="s">
        <v>1425</v>
      </c>
      <c r="B522" s="23" t="s">
        <v>3654</v>
      </c>
      <c r="C522" s="23" t="s">
        <v>1996</v>
      </c>
      <c r="D522" s="23" t="s">
        <v>1427</v>
      </c>
      <c r="E522" s="4" t="s">
        <v>2849</v>
      </c>
    </row>
    <row r="523" spans="1:5" x14ac:dyDescent="0.25">
      <c r="A523" s="2" t="s">
        <v>1881</v>
      </c>
      <c r="B523" s="23" t="s">
        <v>3655</v>
      </c>
      <c r="C523" s="23" t="s">
        <v>1882</v>
      </c>
      <c r="D523" s="23" t="s">
        <v>1424</v>
      </c>
      <c r="E523" s="4" t="s">
        <v>2849</v>
      </c>
    </row>
    <row r="524" spans="1:5" x14ac:dyDescent="0.25">
      <c r="A524" s="2" t="s">
        <v>3656</v>
      </c>
      <c r="B524" s="23" t="s">
        <v>3657</v>
      </c>
      <c r="C524" s="23"/>
      <c r="D524" s="23" t="s">
        <v>1424</v>
      </c>
      <c r="E524" s="4" t="s">
        <v>2849</v>
      </c>
    </row>
    <row r="525" spans="1:5" x14ac:dyDescent="0.25">
      <c r="A525" s="2" t="s">
        <v>3658</v>
      </c>
      <c r="B525" s="23" t="s">
        <v>3659</v>
      </c>
      <c r="C525" s="23"/>
      <c r="D525" s="23" t="s">
        <v>1427</v>
      </c>
      <c r="E525" s="4" t="s">
        <v>2849</v>
      </c>
    </row>
    <row r="526" spans="1:5" x14ac:dyDescent="0.25">
      <c r="A526" s="2" t="s">
        <v>1986</v>
      </c>
      <c r="B526" s="23" t="s">
        <v>1987</v>
      </c>
      <c r="C526" s="23"/>
      <c r="D526" s="23" t="s">
        <v>2848</v>
      </c>
      <c r="E526" s="4" t="s">
        <v>2849</v>
      </c>
    </row>
    <row r="527" spans="1:5" x14ac:dyDescent="0.25">
      <c r="A527" s="2" t="s">
        <v>505</v>
      </c>
      <c r="B527" s="23" t="s">
        <v>3660</v>
      </c>
      <c r="C527" s="23" t="s">
        <v>506</v>
      </c>
      <c r="D527" s="23" t="s">
        <v>2848</v>
      </c>
      <c r="E527" s="4" t="s">
        <v>2849</v>
      </c>
    </row>
    <row r="528" spans="1:5" x14ac:dyDescent="0.25">
      <c r="A528" s="2" t="s">
        <v>1744</v>
      </c>
      <c r="B528" s="23" t="s">
        <v>1745</v>
      </c>
      <c r="C528" s="23"/>
      <c r="D528" s="23" t="s">
        <v>138</v>
      </c>
      <c r="E528" s="4" t="s">
        <v>2849</v>
      </c>
    </row>
    <row r="529" spans="1:5" x14ac:dyDescent="0.25">
      <c r="A529" s="2" t="s">
        <v>1161</v>
      </c>
      <c r="B529" s="23" t="s">
        <v>3661</v>
      </c>
      <c r="C529" s="23" t="s">
        <v>1162</v>
      </c>
      <c r="D529" s="23" t="s">
        <v>171</v>
      </c>
      <c r="E529" s="4" t="s">
        <v>2849</v>
      </c>
    </row>
    <row r="530" spans="1:5" x14ac:dyDescent="0.25">
      <c r="A530" s="2" t="s">
        <v>1255</v>
      </c>
      <c r="B530" s="23" t="s">
        <v>3662</v>
      </c>
      <c r="C530" s="23" t="s">
        <v>1281</v>
      </c>
      <c r="D530" s="23" t="s">
        <v>1257</v>
      </c>
      <c r="E530" s="4" t="s">
        <v>2849</v>
      </c>
    </row>
    <row r="531" spans="1:5" x14ac:dyDescent="0.25">
      <c r="A531" s="2" t="s">
        <v>3663</v>
      </c>
      <c r="B531" s="23" t="s">
        <v>3664</v>
      </c>
      <c r="C531" s="23"/>
      <c r="D531" s="23" t="s">
        <v>171</v>
      </c>
      <c r="E531" s="4" t="s">
        <v>2849</v>
      </c>
    </row>
    <row r="532" spans="1:5" x14ac:dyDescent="0.25">
      <c r="A532" s="2" t="s">
        <v>1677</v>
      </c>
      <c r="B532" s="23" t="s">
        <v>3665</v>
      </c>
      <c r="C532" s="23" t="s">
        <v>1678</v>
      </c>
      <c r="D532" s="23" t="s">
        <v>171</v>
      </c>
      <c r="E532" s="4" t="s">
        <v>2849</v>
      </c>
    </row>
    <row r="533" spans="1:5" x14ac:dyDescent="0.25">
      <c r="A533" s="2" t="s">
        <v>1488</v>
      </c>
      <c r="B533" s="23" t="s">
        <v>3666</v>
      </c>
      <c r="C533" s="23" t="s">
        <v>1487</v>
      </c>
      <c r="D533" s="23" t="s">
        <v>171</v>
      </c>
      <c r="E533" s="4" t="s">
        <v>2849</v>
      </c>
    </row>
    <row r="534" spans="1:5" x14ac:dyDescent="0.25">
      <c r="A534" s="2" t="s">
        <v>3667</v>
      </c>
      <c r="B534" s="23" t="s">
        <v>3668</v>
      </c>
      <c r="C534" s="23"/>
      <c r="D534" s="23" t="s">
        <v>1257</v>
      </c>
      <c r="E534" s="4" t="s">
        <v>2849</v>
      </c>
    </row>
    <row r="535" spans="1:5" x14ac:dyDescent="0.25">
      <c r="A535" s="2" t="s">
        <v>1621</v>
      </c>
      <c r="B535" s="23" t="s">
        <v>1622</v>
      </c>
      <c r="C535" s="23"/>
      <c r="D535" s="23" t="s">
        <v>1257</v>
      </c>
      <c r="E535" s="4" t="s">
        <v>2849</v>
      </c>
    </row>
    <row r="536" spans="1:5" x14ac:dyDescent="0.25">
      <c r="A536" s="2" t="s">
        <v>3669</v>
      </c>
      <c r="B536" s="23" t="s">
        <v>3670</v>
      </c>
      <c r="C536" s="23"/>
      <c r="D536" s="23" t="s">
        <v>171</v>
      </c>
      <c r="E536" s="4" t="s">
        <v>2849</v>
      </c>
    </row>
    <row r="537" spans="1:5" x14ac:dyDescent="0.25">
      <c r="A537" s="2" t="s">
        <v>3671</v>
      </c>
      <c r="B537" s="23" t="s">
        <v>3672</v>
      </c>
      <c r="C537" s="23"/>
      <c r="D537" s="23" t="s">
        <v>171</v>
      </c>
      <c r="E537" s="4" t="s">
        <v>2849</v>
      </c>
    </row>
    <row r="538" spans="1:5" x14ac:dyDescent="0.25">
      <c r="A538" s="2" t="s">
        <v>3673</v>
      </c>
      <c r="B538" s="23" t="s">
        <v>3674</v>
      </c>
      <c r="C538" s="23"/>
      <c r="D538" s="23" t="s">
        <v>171</v>
      </c>
      <c r="E538" s="4" t="s">
        <v>2849</v>
      </c>
    </row>
    <row r="539" spans="1:5" x14ac:dyDescent="0.25">
      <c r="A539" s="2" t="s">
        <v>3675</v>
      </c>
      <c r="B539" s="23" t="s">
        <v>3676</v>
      </c>
      <c r="C539" s="23"/>
      <c r="D539" s="23" t="s">
        <v>171</v>
      </c>
      <c r="E539" s="4" t="s">
        <v>2849</v>
      </c>
    </row>
    <row r="540" spans="1:5" x14ac:dyDescent="0.25">
      <c r="A540" s="2" t="s">
        <v>3677</v>
      </c>
      <c r="B540" s="23" t="s">
        <v>3678</v>
      </c>
      <c r="C540" s="23"/>
      <c r="D540" s="23" t="s">
        <v>171</v>
      </c>
      <c r="E540" s="4" t="s">
        <v>2849</v>
      </c>
    </row>
    <row r="541" spans="1:5" x14ac:dyDescent="0.25">
      <c r="A541" s="2" t="s">
        <v>3679</v>
      </c>
      <c r="B541" s="23" t="s">
        <v>3680</v>
      </c>
      <c r="C541" s="23"/>
      <c r="D541" s="23" t="s">
        <v>171</v>
      </c>
      <c r="E541" s="4" t="s">
        <v>2849</v>
      </c>
    </row>
    <row r="542" spans="1:5" x14ac:dyDescent="0.25">
      <c r="A542" s="2" t="s">
        <v>3681</v>
      </c>
      <c r="B542" s="23" t="s">
        <v>3682</v>
      </c>
      <c r="C542" s="23"/>
      <c r="D542" s="23" t="s">
        <v>171</v>
      </c>
      <c r="E542" s="4" t="s">
        <v>2849</v>
      </c>
    </row>
    <row r="543" spans="1:5" x14ac:dyDescent="0.25">
      <c r="A543" s="2" t="s">
        <v>1824</v>
      </c>
      <c r="B543" s="23" t="s">
        <v>3683</v>
      </c>
      <c r="C543" s="23" t="s">
        <v>1825</v>
      </c>
      <c r="D543" s="23" t="s">
        <v>138</v>
      </c>
      <c r="E543" s="4" t="s">
        <v>2849</v>
      </c>
    </row>
    <row r="544" spans="1:5" x14ac:dyDescent="0.25">
      <c r="A544" s="2" t="s">
        <v>1618</v>
      </c>
      <c r="B544" s="23" t="s">
        <v>3684</v>
      </c>
      <c r="C544" s="23" t="s">
        <v>1619</v>
      </c>
      <c r="D544" s="23" t="s">
        <v>138</v>
      </c>
      <c r="E544" s="4" t="s">
        <v>2849</v>
      </c>
    </row>
    <row r="545" spans="1:5" x14ac:dyDescent="0.25">
      <c r="A545" s="2" t="s">
        <v>136</v>
      </c>
      <c r="B545" s="23" t="s">
        <v>3685</v>
      </c>
      <c r="C545" s="23" t="s">
        <v>137</v>
      </c>
      <c r="D545" s="23" t="s">
        <v>138</v>
      </c>
      <c r="E545" s="4" t="s">
        <v>2849</v>
      </c>
    </row>
    <row r="546" spans="1:5" x14ac:dyDescent="0.25">
      <c r="A546" s="2" t="s">
        <v>1545</v>
      </c>
      <c r="B546" s="23" t="s">
        <v>3686</v>
      </c>
      <c r="C546" s="23" t="s">
        <v>1546</v>
      </c>
      <c r="D546" s="23" t="s">
        <v>138</v>
      </c>
      <c r="E546" s="4" t="s">
        <v>2849</v>
      </c>
    </row>
    <row r="547" spans="1:5" x14ac:dyDescent="0.25">
      <c r="A547" s="2" t="s">
        <v>1210</v>
      </c>
      <c r="B547" s="23" t="s">
        <v>3687</v>
      </c>
      <c r="C547" s="23" t="s">
        <v>1211</v>
      </c>
      <c r="D547" s="23" t="s">
        <v>171</v>
      </c>
      <c r="E547" s="4" t="s">
        <v>2849</v>
      </c>
    </row>
    <row r="548" spans="1:5" x14ac:dyDescent="0.25">
      <c r="A548" s="2" t="s">
        <v>1774</v>
      </c>
      <c r="B548" s="23" t="s">
        <v>3688</v>
      </c>
      <c r="C548" s="23" t="s">
        <v>1775</v>
      </c>
      <c r="D548" s="23" t="s">
        <v>138</v>
      </c>
      <c r="E548" s="4" t="s">
        <v>2849</v>
      </c>
    </row>
    <row r="549" spans="1:5" x14ac:dyDescent="0.25">
      <c r="A549" s="2" t="s">
        <v>1668</v>
      </c>
      <c r="B549" s="23" t="s">
        <v>1669</v>
      </c>
      <c r="C549" s="23"/>
      <c r="D549" s="23" t="s">
        <v>171</v>
      </c>
      <c r="E549" s="4" t="s">
        <v>2849</v>
      </c>
    </row>
    <row r="550" spans="1:5" x14ac:dyDescent="0.25">
      <c r="A550" s="2" t="s">
        <v>1452</v>
      </c>
      <c r="B550" s="23" t="s">
        <v>1453</v>
      </c>
      <c r="C550" s="23"/>
      <c r="D550" s="23" t="s">
        <v>171</v>
      </c>
      <c r="E550" s="4" t="s">
        <v>2849</v>
      </c>
    </row>
    <row r="551" spans="1:5" x14ac:dyDescent="0.25">
      <c r="A551" s="2" t="s">
        <v>1063</v>
      </c>
      <c r="B551" s="23" t="s">
        <v>3689</v>
      </c>
      <c r="C551" s="23" t="s">
        <v>1755</v>
      </c>
      <c r="D551" s="23" t="s">
        <v>148</v>
      </c>
      <c r="E551" s="4" t="s">
        <v>2849</v>
      </c>
    </row>
    <row r="552" spans="1:5" x14ac:dyDescent="0.25">
      <c r="A552" s="2" t="s">
        <v>3690</v>
      </c>
      <c r="B552" s="23" t="s">
        <v>3691</v>
      </c>
      <c r="C552" s="23"/>
      <c r="D552" s="23" t="s">
        <v>148</v>
      </c>
      <c r="E552" s="4" t="s">
        <v>2849</v>
      </c>
    </row>
    <row r="553" spans="1:5" x14ac:dyDescent="0.25">
      <c r="A553" s="2" t="s">
        <v>168</v>
      </c>
      <c r="B553" s="23" t="s">
        <v>3692</v>
      </c>
      <c r="C553" s="23" t="s">
        <v>169</v>
      </c>
      <c r="D553" s="23" t="s">
        <v>171</v>
      </c>
      <c r="E553" s="4" t="s">
        <v>2849</v>
      </c>
    </row>
    <row r="554" spans="1:5" x14ac:dyDescent="0.25">
      <c r="A554" s="2" t="s">
        <v>1338</v>
      </c>
      <c r="B554" s="23" t="s">
        <v>3693</v>
      </c>
      <c r="C554" s="23" t="s">
        <v>1339</v>
      </c>
      <c r="D554" s="23" t="s">
        <v>171</v>
      </c>
      <c r="E554" s="4" t="s">
        <v>2849</v>
      </c>
    </row>
    <row r="555" spans="1:5" x14ac:dyDescent="0.25">
      <c r="A555" s="2" t="s">
        <v>1712</v>
      </c>
      <c r="B555" s="23" t="s">
        <v>3694</v>
      </c>
      <c r="C555" s="23" t="s">
        <v>1713</v>
      </c>
      <c r="D555" s="23" t="s">
        <v>2848</v>
      </c>
      <c r="E555" s="4" t="s">
        <v>2849</v>
      </c>
    </row>
    <row r="556" spans="1:5" x14ac:dyDescent="0.25">
      <c r="A556" s="2" t="s">
        <v>3695</v>
      </c>
      <c r="B556" s="23" t="s">
        <v>3696</v>
      </c>
      <c r="C556" s="23"/>
      <c r="D556" s="23" t="s">
        <v>2848</v>
      </c>
      <c r="E556" s="4" t="s">
        <v>2849</v>
      </c>
    </row>
    <row r="557" spans="1:5" x14ac:dyDescent="0.25">
      <c r="A557" s="2" t="s">
        <v>3697</v>
      </c>
      <c r="B557" s="23" t="s">
        <v>3698</v>
      </c>
      <c r="C557" s="23"/>
      <c r="D557" s="23" t="s">
        <v>2848</v>
      </c>
      <c r="E557" s="4" t="s">
        <v>2849</v>
      </c>
    </row>
    <row r="558" spans="1:5" x14ac:dyDescent="0.25">
      <c r="A558" s="2" t="s">
        <v>3699</v>
      </c>
      <c r="B558" s="23" t="s">
        <v>3700</v>
      </c>
      <c r="C558" s="23"/>
      <c r="D558" s="23" t="s">
        <v>2848</v>
      </c>
      <c r="E558" s="4" t="s">
        <v>2849</v>
      </c>
    </row>
    <row r="559" spans="1:5" x14ac:dyDescent="0.25">
      <c r="A559" s="2" t="s">
        <v>905</v>
      </c>
      <c r="B559" s="23" t="s">
        <v>3701</v>
      </c>
      <c r="C559" s="23" t="s">
        <v>906</v>
      </c>
      <c r="D559" s="23" t="s">
        <v>171</v>
      </c>
      <c r="E559" s="4" t="s">
        <v>2849</v>
      </c>
    </row>
    <row r="560" spans="1:5" x14ac:dyDescent="0.25">
      <c r="A560" s="2" t="s">
        <v>1076</v>
      </c>
      <c r="B560" s="23" t="s">
        <v>3702</v>
      </c>
      <c r="C560" s="23" t="s">
        <v>1119</v>
      </c>
      <c r="D560" s="23" t="s">
        <v>2848</v>
      </c>
      <c r="E560" s="4" t="s">
        <v>2849</v>
      </c>
    </row>
    <row r="561" spans="1:5" x14ac:dyDescent="0.25">
      <c r="A561" s="2" t="s">
        <v>1081</v>
      </c>
      <c r="B561" s="23" t="s">
        <v>3703</v>
      </c>
      <c r="C561" s="23" t="s">
        <v>1082</v>
      </c>
      <c r="D561" s="23" t="s">
        <v>2848</v>
      </c>
      <c r="E561" s="4" t="s">
        <v>2849</v>
      </c>
    </row>
    <row r="562" spans="1:5" x14ac:dyDescent="0.25">
      <c r="A562" s="2" t="s">
        <v>1114</v>
      </c>
      <c r="B562" s="23" t="s">
        <v>1115</v>
      </c>
      <c r="C562" s="23"/>
      <c r="D562" s="23" t="s">
        <v>164</v>
      </c>
      <c r="E562" s="4" t="s">
        <v>2849</v>
      </c>
    </row>
    <row r="563" spans="1:5" x14ac:dyDescent="0.25">
      <c r="A563" s="2" t="s">
        <v>3704</v>
      </c>
      <c r="B563" s="23" t="s">
        <v>3705</v>
      </c>
      <c r="C563" s="23"/>
      <c r="D563" s="23" t="s">
        <v>2848</v>
      </c>
      <c r="E563" s="4" t="s">
        <v>2849</v>
      </c>
    </row>
    <row r="564" spans="1:5" x14ac:dyDescent="0.25">
      <c r="A564" s="2" t="s">
        <v>779</v>
      </c>
      <c r="B564" s="23" t="s">
        <v>3706</v>
      </c>
      <c r="C564" s="23" t="s">
        <v>780</v>
      </c>
      <c r="D564" s="23" t="s">
        <v>781</v>
      </c>
      <c r="E564" s="4" t="s">
        <v>2849</v>
      </c>
    </row>
    <row r="565" spans="1:5" x14ac:dyDescent="0.25">
      <c r="A565" s="2" t="s">
        <v>1863</v>
      </c>
      <c r="B565" s="23" t="s">
        <v>3707</v>
      </c>
      <c r="C565" s="23" t="s">
        <v>1864</v>
      </c>
      <c r="D565" s="23" t="s">
        <v>2848</v>
      </c>
      <c r="E565" s="4" t="s">
        <v>2849</v>
      </c>
    </row>
    <row r="566" spans="1:5" x14ac:dyDescent="0.25">
      <c r="A566" s="2" t="s">
        <v>3708</v>
      </c>
      <c r="B566" s="23" t="s">
        <v>3709</v>
      </c>
      <c r="C566" s="23"/>
      <c r="D566" s="23" t="s">
        <v>2848</v>
      </c>
      <c r="E566" s="4" t="s">
        <v>2849</v>
      </c>
    </row>
    <row r="567" spans="1:5" x14ac:dyDescent="0.25">
      <c r="A567" s="2" t="s">
        <v>3710</v>
      </c>
      <c r="B567" s="23" t="s">
        <v>3711</v>
      </c>
      <c r="C567" s="23"/>
      <c r="D567" s="23" t="s">
        <v>2848</v>
      </c>
      <c r="E567" s="4" t="s">
        <v>2849</v>
      </c>
    </row>
    <row r="568" spans="1:5" x14ac:dyDescent="0.25">
      <c r="A568" s="2" t="s">
        <v>3712</v>
      </c>
      <c r="B568" s="23" t="s">
        <v>3713</v>
      </c>
      <c r="C568" s="23"/>
      <c r="D568" s="23" t="s">
        <v>2848</v>
      </c>
      <c r="E568" s="4" t="s">
        <v>2849</v>
      </c>
    </row>
    <row r="569" spans="1:5" x14ac:dyDescent="0.25">
      <c r="A569" s="2" t="s">
        <v>3714</v>
      </c>
      <c r="B569" s="23" t="s">
        <v>3715</v>
      </c>
      <c r="C569" s="23"/>
      <c r="D569" s="23" t="s">
        <v>2848</v>
      </c>
      <c r="E569" s="4" t="s">
        <v>2849</v>
      </c>
    </row>
    <row r="570" spans="1:5" x14ac:dyDescent="0.25">
      <c r="A570" s="2" t="s">
        <v>3716</v>
      </c>
      <c r="B570" s="23" t="s">
        <v>3717</v>
      </c>
      <c r="C570" s="23"/>
      <c r="D570" s="23" t="s">
        <v>2848</v>
      </c>
      <c r="E570" s="4" t="s">
        <v>2849</v>
      </c>
    </row>
    <row r="571" spans="1:5" x14ac:dyDescent="0.25">
      <c r="A571" s="2" t="s">
        <v>3718</v>
      </c>
      <c r="B571" s="23" t="s">
        <v>3719</v>
      </c>
      <c r="C571" s="23"/>
      <c r="D571" s="23" t="s">
        <v>2848</v>
      </c>
      <c r="E571" s="4" t="s">
        <v>2849</v>
      </c>
    </row>
    <row r="572" spans="1:5" x14ac:dyDescent="0.25">
      <c r="A572" s="2" t="s">
        <v>3720</v>
      </c>
      <c r="B572" s="23" t="s">
        <v>3721</v>
      </c>
      <c r="C572" s="23"/>
      <c r="D572" s="23" t="s">
        <v>2848</v>
      </c>
      <c r="E572" s="4" t="s">
        <v>2849</v>
      </c>
    </row>
    <row r="573" spans="1:5" x14ac:dyDescent="0.25">
      <c r="A573" s="2" t="s">
        <v>3722</v>
      </c>
      <c r="B573" s="23" t="s">
        <v>3723</v>
      </c>
      <c r="C573" s="23"/>
      <c r="D573" s="23" t="s">
        <v>2848</v>
      </c>
      <c r="E573" s="4" t="s">
        <v>2849</v>
      </c>
    </row>
    <row r="574" spans="1:5" x14ac:dyDescent="0.25">
      <c r="A574" s="2" t="s">
        <v>1004</v>
      </c>
      <c r="B574" s="23" t="s">
        <v>3724</v>
      </c>
      <c r="C574" s="23" t="s">
        <v>1005</v>
      </c>
      <c r="D574" s="23" t="s">
        <v>2848</v>
      </c>
      <c r="E574" s="4" t="s">
        <v>2849</v>
      </c>
    </row>
    <row r="575" spans="1:5" x14ac:dyDescent="0.25">
      <c r="A575" s="2" t="s">
        <v>1865</v>
      </c>
      <c r="B575" s="23" t="s">
        <v>1866</v>
      </c>
      <c r="C575" s="23"/>
      <c r="D575" s="23" t="s">
        <v>781</v>
      </c>
      <c r="E575" s="4" t="s">
        <v>2849</v>
      </c>
    </row>
    <row r="576" spans="1:5" x14ac:dyDescent="0.25">
      <c r="A576" s="2" t="s">
        <v>1836</v>
      </c>
      <c r="B576" s="23" t="s">
        <v>1837</v>
      </c>
      <c r="C576" s="23"/>
      <c r="D576" s="23" t="s">
        <v>1838</v>
      </c>
      <c r="E576" s="4" t="s">
        <v>2849</v>
      </c>
    </row>
    <row r="577" spans="1:5" x14ac:dyDescent="0.25">
      <c r="A577" s="2" t="s">
        <v>3725</v>
      </c>
      <c r="B577" s="23" t="s">
        <v>3726</v>
      </c>
      <c r="C577" s="23"/>
      <c r="D577" s="23" t="s">
        <v>171</v>
      </c>
      <c r="E577" s="4" t="s">
        <v>2849</v>
      </c>
    </row>
    <row r="578" spans="1:5" x14ac:dyDescent="0.25">
      <c r="A578" s="2" t="s">
        <v>3727</v>
      </c>
      <c r="B578" s="23" t="s">
        <v>3728</v>
      </c>
      <c r="C578" s="23"/>
      <c r="D578" s="23" t="s">
        <v>2848</v>
      </c>
      <c r="E578" s="4" t="s">
        <v>2849</v>
      </c>
    </row>
    <row r="579" spans="1:5" x14ac:dyDescent="0.25">
      <c r="A579" s="2" t="s">
        <v>3729</v>
      </c>
      <c r="B579" s="23" t="s">
        <v>3730</v>
      </c>
      <c r="C579" s="23"/>
      <c r="D579" s="23" t="s">
        <v>2848</v>
      </c>
      <c r="E579" s="4" t="s">
        <v>2849</v>
      </c>
    </row>
    <row r="580" spans="1:5" x14ac:dyDescent="0.25">
      <c r="A580" s="2" t="s">
        <v>854</v>
      </c>
      <c r="B580" s="23" t="s">
        <v>3731</v>
      </c>
      <c r="C580" s="23" t="s">
        <v>855</v>
      </c>
      <c r="D580" s="23" t="s">
        <v>2848</v>
      </c>
      <c r="E580" s="4" t="s">
        <v>2849</v>
      </c>
    </row>
    <row r="581" spans="1:5" x14ac:dyDescent="0.25">
      <c r="A581" s="2" t="s">
        <v>861</v>
      </c>
      <c r="B581" s="23" t="s">
        <v>3732</v>
      </c>
      <c r="C581" s="23" t="s">
        <v>862</v>
      </c>
      <c r="D581" s="23" t="s">
        <v>2848</v>
      </c>
      <c r="E581" s="4" t="s">
        <v>2849</v>
      </c>
    </row>
    <row r="582" spans="1:5" x14ac:dyDescent="0.25">
      <c r="A582" s="2" t="s">
        <v>3733</v>
      </c>
      <c r="B582" s="23" t="s">
        <v>3734</v>
      </c>
      <c r="C582" s="23"/>
      <c r="D582" s="23" t="s">
        <v>3735</v>
      </c>
      <c r="E582" s="4" t="s">
        <v>2849</v>
      </c>
    </row>
    <row r="583" spans="1:5" x14ac:dyDescent="0.25">
      <c r="A583" s="2" t="s">
        <v>827</v>
      </c>
      <c r="B583" s="23" t="s">
        <v>3736</v>
      </c>
      <c r="C583" s="23" t="s">
        <v>828</v>
      </c>
      <c r="D583" s="23" t="s">
        <v>2848</v>
      </c>
      <c r="E583" s="4" t="s">
        <v>2849</v>
      </c>
    </row>
    <row r="584" spans="1:5" x14ac:dyDescent="0.25">
      <c r="A584" s="2" t="s">
        <v>834</v>
      </c>
      <c r="B584" s="23" t="s">
        <v>3737</v>
      </c>
      <c r="C584" s="23" t="s">
        <v>835</v>
      </c>
      <c r="D584" s="23" t="s">
        <v>2848</v>
      </c>
      <c r="E584" s="4" t="s">
        <v>2849</v>
      </c>
    </row>
    <row r="585" spans="1:5" x14ac:dyDescent="0.25">
      <c r="A585" s="2" t="s">
        <v>3738</v>
      </c>
      <c r="B585" s="23" t="s">
        <v>3739</v>
      </c>
      <c r="C585" s="23"/>
      <c r="D585" s="23" t="s">
        <v>171</v>
      </c>
      <c r="E585" s="4" t="s">
        <v>2849</v>
      </c>
    </row>
    <row r="586" spans="1:5" x14ac:dyDescent="0.25">
      <c r="A586" s="2" t="s">
        <v>1749</v>
      </c>
      <c r="B586" s="23" t="s">
        <v>1750</v>
      </c>
      <c r="C586" s="23"/>
      <c r="D586" s="23" t="s">
        <v>1751</v>
      </c>
      <c r="E586" s="4" t="s">
        <v>2849</v>
      </c>
    </row>
    <row r="587" spans="1:5" x14ac:dyDescent="0.25">
      <c r="A587" s="2" t="s">
        <v>1928</v>
      </c>
      <c r="B587" s="23" t="s">
        <v>3740</v>
      </c>
      <c r="C587" s="23" t="s">
        <v>1929</v>
      </c>
      <c r="D587" s="23" t="s">
        <v>2848</v>
      </c>
      <c r="E587" s="4" t="s">
        <v>2849</v>
      </c>
    </row>
    <row r="588" spans="1:5" x14ac:dyDescent="0.25">
      <c r="A588" s="2" t="s">
        <v>1416</v>
      </c>
      <c r="B588" s="23" t="s">
        <v>3741</v>
      </c>
      <c r="C588" s="23" t="s">
        <v>1417</v>
      </c>
      <c r="D588" s="23" t="s">
        <v>2848</v>
      </c>
      <c r="E588" s="4" t="s">
        <v>2849</v>
      </c>
    </row>
    <row r="589" spans="1:5" x14ac:dyDescent="0.25">
      <c r="A589" s="2" t="s">
        <v>1444</v>
      </c>
      <c r="B589" s="23" t="s">
        <v>1445</v>
      </c>
      <c r="C589" s="23"/>
      <c r="D589" s="23" t="s">
        <v>171</v>
      </c>
      <c r="E589" s="4" t="s">
        <v>2849</v>
      </c>
    </row>
    <row r="590" spans="1:5" x14ac:dyDescent="0.25">
      <c r="A590" s="2" t="s">
        <v>1034</v>
      </c>
      <c r="B590" s="23" t="s">
        <v>1035</v>
      </c>
      <c r="C590" s="23"/>
      <c r="D590" s="23" t="s">
        <v>148</v>
      </c>
      <c r="E590" s="4" t="s">
        <v>2849</v>
      </c>
    </row>
    <row r="591" spans="1:5" x14ac:dyDescent="0.25">
      <c r="A591" s="2" t="s">
        <v>1044</v>
      </c>
      <c r="B591" s="23" t="s">
        <v>3742</v>
      </c>
      <c r="C591" s="23" t="s">
        <v>1045</v>
      </c>
      <c r="D591" s="23" t="s">
        <v>2848</v>
      </c>
      <c r="E591" s="4" t="s">
        <v>2849</v>
      </c>
    </row>
    <row r="592" spans="1:5" x14ac:dyDescent="0.25">
      <c r="A592" s="2" t="s">
        <v>3743</v>
      </c>
      <c r="B592" s="23" t="s">
        <v>3744</v>
      </c>
      <c r="C592" s="23"/>
      <c r="D592" s="23" t="s">
        <v>2848</v>
      </c>
      <c r="E592" s="4" t="s">
        <v>2849</v>
      </c>
    </row>
    <row r="593" spans="1:5" x14ac:dyDescent="0.25">
      <c r="A593" s="2" t="s">
        <v>2026</v>
      </c>
      <c r="B593" s="23" t="s">
        <v>2027</v>
      </c>
      <c r="C593" s="23"/>
      <c r="D593" s="23" t="s">
        <v>2848</v>
      </c>
      <c r="E593" s="4" t="s">
        <v>2849</v>
      </c>
    </row>
    <row r="594" spans="1:5" x14ac:dyDescent="0.25">
      <c r="A594" s="2" t="s">
        <v>2031</v>
      </c>
      <c r="B594" s="23" t="s">
        <v>3745</v>
      </c>
      <c r="C594" s="23" t="s">
        <v>2032</v>
      </c>
      <c r="D594" s="23" t="s">
        <v>2848</v>
      </c>
      <c r="E594" s="4" t="s">
        <v>2849</v>
      </c>
    </row>
    <row r="595" spans="1:5" x14ac:dyDescent="0.25">
      <c r="A595" s="2" t="s">
        <v>3746</v>
      </c>
      <c r="B595" s="23" t="s">
        <v>3747</v>
      </c>
      <c r="C595" s="23"/>
      <c r="D595" s="23" t="s">
        <v>171</v>
      </c>
      <c r="E595" s="4" t="s">
        <v>2849</v>
      </c>
    </row>
    <row r="596" spans="1:5" x14ac:dyDescent="0.25">
      <c r="A596" s="2" t="s">
        <v>3748</v>
      </c>
      <c r="B596" s="23" t="s">
        <v>3749</v>
      </c>
      <c r="C596" s="23"/>
      <c r="D596" s="23" t="s">
        <v>171</v>
      </c>
      <c r="E596" s="4" t="s">
        <v>2849</v>
      </c>
    </row>
    <row r="597" spans="1:5" x14ac:dyDescent="0.25">
      <c r="A597" s="2" t="s">
        <v>1888</v>
      </c>
      <c r="B597" s="23" t="s">
        <v>3750</v>
      </c>
      <c r="C597" s="23" t="s">
        <v>1921</v>
      </c>
      <c r="D597" s="23" t="s">
        <v>1890</v>
      </c>
      <c r="E597" s="4" t="s">
        <v>2849</v>
      </c>
    </row>
    <row r="598" spans="1:5" x14ac:dyDescent="0.25">
      <c r="A598" s="2" t="s">
        <v>3751</v>
      </c>
      <c r="B598" s="23" t="s">
        <v>3752</v>
      </c>
      <c r="C598" s="23"/>
      <c r="D598" s="23" t="s">
        <v>2848</v>
      </c>
      <c r="E598" s="4" t="s">
        <v>2849</v>
      </c>
    </row>
    <row r="599" spans="1:5" x14ac:dyDescent="0.25">
      <c r="A599" s="2" t="s">
        <v>3753</v>
      </c>
      <c r="B599" s="23" t="s">
        <v>3754</v>
      </c>
      <c r="C599" s="23"/>
      <c r="D599" s="23" t="s">
        <v>2848</v>
      </c>
      <c r="E599" s="4" t="s">
        <v>2849</v>
      </c>
    </row>
    <row r="600" spans="1:5" x14ac:dyDescent="0.25">
      <c r="A600" s="2" t="s">
        <v>3755</v>
      </c>
      <c r="B600" s="23" t="s">
        <v>3756</v>
      </c>
      <c r="C600" s="23"/>
      <c r="D600" s="23" t="s">
        <v>2848</v>
      </c>
      <c r="E600" s="4" t="s">
        <v>2849</v>
      </c>
    </row>
    <row r="601" spans="1:5" x14ac:dyDescent="0.25">
      <c r="A601" s="2" t="s">
        <v>3757</v>
      </c>
      <c r="B601" s="23" t="s">
        <v>3758</v>
      </c>
      <c r="C601" s="23"/>
      <c r="D601" s="23" t="s">
        <v>2848</v>
      </c>
      <c r="E601" s="4" t="s">
        <v>2849</v>
      </c>
    </row>
    <row r="602" spans="1:5" x14ac:dyDescent="0.25">
      <c r="A602" s="2" t="s">
        <v>2054</v>
      </c>
      <c r="B602" s="23" t="s">
        <v>3759</v>
      </c>
      <c r="C602" s="23" t="s">
        <v>2055</v>
      </c>
      <c r="D602" s="23" t="s">
        <v>2848</v>
      </c>
      <c r="E602" s="4" t="s">
        <v>2849</v>
      </c>
    </row>
    <row r="603" spans="1:5" x14ac:dyDescent="0.25">
      <c r="A603" s="2" t="s">
        <v>3760</v>
      </c>
      <c r="B603" s="23" t="s">
        <v>3761</v>
      </c>
      <c r="C603" s="23"/>
      <c r="D603" s="23" t="s">
        <v>2848</v>
      </c>
      <c r="E603" s="4" t="s">
        <v>2849</v>
      </c>
    </row>
    <row r="604" spans="1:5" x14ac:dyDescent="0.25">
      <c r="A604" s="2" t="s">
        <v>3762</v>
      </c>
      <c r="B604" s="23" t="s">
        <v>3763</v>
      </c>
      <c r="C604" s="23"/>
      <c r="D604" s="23" t="s">
        <v>2848</v>
      </c>
      <c r="E604" s="4" t="s">
        <v>2849</v>
      </c>
    </row>
    <row r="605" spans="1:5" x14ac:dyDescent="0.25">
      <c r="A605" s="2" t="s">
        <v>1910</v>
      </c>
      <c r="B605" s="23" t="s">
        <v>3764</v>
      </c>
      <c r="C605" s="23" t="s">
        <v>1911</v>
      </c>
      <c r="D605" s="23" t="s">
        <v>1890</v>
      </c>
      <c r="E605" s="4" t="s">
        <v>2849</v>
      </c>
    </row>
    <row r="606" spans="1:5" x14ac:dyDescent="0.25">
      <c r="A606" s="2" t="s">
        <v>3765</v>
      </c>
      <c r="B606" s="23" t="s">
        <v>3766</v>
      </c>
      <c r="C606" s="23"/>
      <c r="D606" s="23" t="s">
        <v>2848</v>
      </c>
      <c r="E606" s="4" t="s">
        <v>2849</v>
      </c>
    </row>
    <row r="607" spans="1:5" x14ac:dyDescent="0.25">
      <c r="A607" s="2" t="s">
        <v>3767</v>
      </c>
      <c r="B607" s="23" t="s">
        <v>3768</v>
      </c>
      <c r="C607" s="23"/>
      <c r="D607" s="23" t="s">
        <v>2848</v>
      </c>
      <c r="E607" s="4" t="s">
        <v>2849</v>
      </c>
    </row>
    <row r="608" spans="1:5" x14ac:dyDescent="0.25">
      <c r="A608" s="2" t="s">
        <v>3769</v>
      </c>
      <c r="B608" s="23" t="s">
        <v>3770</v>
      </c>
      <c r="C608" s="23"/>
      <c r="D608" s="23" t="s">
        <v>2848</v>
      </c>
      <c r="E608" s="4" t="s">
        <v>2849</v>
      </c>
    </row>
    <row r="609" spans="1:5" x14ac:dyDescent="0.25">
      <c r="A609" s="2" t="s">
        <v>3771</v>
      </c>
      <c r="B609" s="23" t="s">
        <v>3772</v>
      </c>
      <c r="C609" s="23"/>
      <c r="D609" s="23" t="s">
        <v>2848</v>
      </c>
      <c r="E609" s="4" t="s">
        <v>2849</v>
      </c>
    </row>
    <row r="610" spans="1:5" x14ac:dyDescent="0.25">
      <c r="A610" s="2" t="s">
        <v>3773</v>
      </c>
      <c r="B610" s="23" t="s">
        <v>3774</v>
      </c>
      <c r="C610" s="23"/>
      <c r="D610" s="23" t="s">
        <v>2848</v>
      </c>
      <c r="E610" s="4" t="s">
        <v>2849</v>
      </c>
    </row>
    <row r="611" spans="1:5" x14ac:dyDescent="0.25">
      <c r="A611" s="2" t="s">
        <v>3775</v>
      </c>
      <c r="B611" s="23" t="s">
        <v>3776</v>
      </c>
      <c r="C611" s="23"/>
      <c r="D611" s="23" t="s">
        <v>2848</v>
      </c>
      <c r="E611" s="4" t="s">
        <v>2849</v>
      </c>
    </row>
    <row r="612" spans="1:5" x14ac:dyDescent="0.25">
      <c r="A612" s="2" t="s">
        <v>3777</v>
      </c>
      <c r="B612" s="23" t="s">
        <v>3778</v>
      </c>
      <c r="C612" s="23"/>
      <c r="D612" s="23" t="s">
        <v>2848</v>
      </c>
      <c r="E612" s="4" t="s">
        <v>2849</v>
      </c>
    </row>
    <row r="613" spans="1:5" x14ac:dyDescent="0.25">
      <c r="A613" s="2" t="s">
        <v>3779</v>
      </c>
      <c r="B613" s="23" t="s">
        <v>3780</v>
      </c>
      <c r="C613" s="23"/>
      <c r="D613" s="23" t="s">
        <v>2848</v>
      </c>
      <c r="E613" s="4" t="s">
        <v>2849</v>
      </c>
    </row>
    <row r="614" spans="1:5" x14ac:dyDescent="0.25">
      <c r="A614" s="2" t="s">
        <v>3781</v>
      </c>
      <c r="B614" s="23" t="s">
        <v>3782</v>
      </c>
      <c r="C614" s="23"/>
      <c r="D614" s="23" t="s">
        <v>2848</v>
      </c>
      <c r="E614" s="4" t="s">
        <v>2849</v>
      </c>
    </row>
    <row r="615" spans="1:5" x14ac:dyDescent="0.25">
      <c r="A615" s="2" t="s">
        <v>3783</v>
      </c>
      <c r="B615" s="23" t="s">
        <v>3784</v>
      </c>
      <c r="C615" s="23"/>
      <c r="D615" s="23" t="s">
        <v>2848</v>
      </c>
      <c r="E615" s="4" t="s">
        <v>2849</v>
      </c>
    </row>
    <row r="616" spans="1:5" x14ac:dyDescent="0.25">
      <c r="A616" s="2" t="s">
        <v>3785</v>
      </c>
      <c r="B616" s="23" t="s">
        <v>3786</v>
      </c>
      <c r="C616" s="23"/>
      <c r="D616" s="23" t="s">
        <v>3787</v>
      </c>
      <c r="E616" s="4" t="s">
        <v>2849</v>
      </c>
    </row>
    <row r="617" spans="1:5" x14ac:dyDescent="0.25">
      <c r="A617" s="2" t="s">
        <v>1476</v>
      </c>
      <c r="B617" s="23" t="s">
        <v>1477</v>
      </c>
      <c r="C617" s="23"/>
      <c r="D617" s="23" t="s">
        <v>1478</v>
      </c>
      <c r="E617" s="4" t="s">
        <v>2849</v>
      </c>
    </row>
    <row r="618" spans="1:5" x14ac:dyDescent="0.25">
      <c r="A618" s="2" t="s">
        <v>3788</v>
      </c>
      <c r="B618" s="23" t="s">
        <v>3789</v>
      </c>
      <c r="C618" s="23"/>
      <c r="D618" s="23" t="s">
        <v>1478</v>
      </c>
      <c r="E618" s="4" t="s">
        <v>2849</v>
      </c>
    </row>
    <row r="619" spans="1:5" x14ac:dyDescent="0.25">
      <c r="A619" s="2" t="s">
        <v>1939</v>
      </c>
      <c r="B619" s="23" t="s">
        <v>3790</v>
      </c>
      <c r="C619" s="23" t="s">
        <v>1940</v>
      </c>
      <c r="D619" s="23" t="s">
        <v>1478</v>
      </c>
      <c r="E619" s="4" t="s">
        <v>2849</v>
      </c>
    </row>
    <row r="620" spans="1:5" x14ac:dyDescent="0.25">
      <c r="A620" s="2" t="s">
        <v>3791</v>
      </c>
      <c r="B620" s="23" t="s">
        <v>3792</v>
      </c>
      <c r="C620" s="23"/>
      <c r="D620" s="23" t="s">
        <v>2848</v>
      </c>
      <c r="E620" s="4" t="s">
        <v>2849</v>
      </c>
    </row>
    <row r="621" spans="1:5" x14ac:dyDescent="0.25">
      <c r="A621" s="2" t="s">
        <v>3793</v>
      </c>
      <c r="B621" s="23" t="s">
        <v>3794</v>
      </c>
      <c r="C621" s="23"/>
      <c r="D621" s="23" t="s">
        <v>2848</v>
      </c>
      <c r="E621" s="4" t="s">
        <v>2849</v>
      </c>
    </row>
    <row r="622" spans="1:5" x14ac:dyDescent="0.25">
      <c r="A622" s="2" t="s">
        <v>3795</v>
      </c>
      <c r="B622" s="23" t="s">
        <v>3796</v>
      </c>
      <c r="C622" s="23"/>
      <c r="D622" s="23" t="s">
        <v>2848</v>
      </c>
      <c r="E622" s="4" t="s">
        <v>2849</v>
      </c>
    </row>
    <row r="623" spans="1:5" x14ac:dyDescent="0.25">
      <c r="A623" s="2" t="s">
        <v>3797</v>
      </c>
      <c r="B623" s="23" t="s">
        <v>3798</v>
      </c>
      <c r="C623" s="23"/>
      <c r="D623" s="23" t="s">
        <v>2848</v>
      </c>
      <c r="E623" s="4" t="s">
        <v>2849</v>
      </c>
    </row>
    <row r="624" spans="1:5" x14ac:dyDescent="0.25">
      <c r="A624" s="2" t="s">
        <v>3799</v>
      </c>
      <c r="B624" s="23" t="s">
        <v>3800</v>
      </c>
      <c r="C624" s="23"/>
      <c r="D624" s="23" t="s">
        <v>2848</v>
      </c>
      <c r="E624" s="4" t="s">
        <v>2849</v>
      </c>
    </row>
    <row r="625" spans="1:5" x14ac:dyDescent="0.25">
      <c r="A625" s="2" t="s">
        <v>3801</v>
      </c>
      <c r="B625" s="23" t="s">
        <v>3802</v>
      </c>
      <c r="C625" s="23"/>
      <c r="D625" s="23" t="s">
        <v>2848</v>
      </c>
      <c r="E625" s="4" t="s">
        <v>2849</v>
      </c>
    </row>
    <row r="626" spans="1:5" x14ac:dyDescent="0.25">
      <c r="A626" s="2" t="s">
        <v>3803</v>
      </c>
      <c r="B626" s="23" t="s">
        <v>3804</v>
      </c>
      <c r="C626" s="23"/>
      <c r="D626" s="23" t="s">
        <v>3805</v>
      </c>
      <c r="E626" s="4" t="s">
        <v>2849</v>
      </c>
    </row>
    <row r="627" spans="1:5" x14ac:dyDescent="0.25">
      <c r="A627" s="2" t="s">
        <v>3806</v>
      </c>
      <c r="B627" s="23" t="s">
        <v>3807</v>
      </c>
      <c r="C627" s="23"/>
      <c r="D627" s="23" t="s">
        <v>3805</v>
      </c>
      <c r="E627" s="4" t="s">
        <v>2849</v>
      </c>
    </row>
    <row r="628" spans="1:5" x14ac:dyDescent="0.25">
      <c r="A628" s="2" t="s">
        <v>3808</v>
      </c>
      <c r="B628" s="23" t="s">
        <v>3809</v>
      </c>
      <c r="C628" s="23"/>
      <c r="D628" s="23" t="s">
        <v>1838</v>
      </c>
      <c r="E628" s="4" t="s">
        <v>2849</v>
      </c>
    </row>
    <row r="629" spans="1:5" x14ac:dyDescent="0.25">
      <c r="A629" s="2" t="s">
        <v>3810</v>
      </c>
      <c r="B629" s="23" t="s">
        <v>3811</v>
      </c>
      <c r="C629" s="23"/>
      <c r="D629" s="23" t="s">
        <v>3805</v>
      </c>
      <c r="E629" s="4" t="s">
        <v>2849</v>
      </c>
    </row>
    <row r="630" spans="1:5" x14ac:dyDescent="0.25">
      <c r="A630" s="2" t="s">
        <v>3812</v>
      </c>
      <c r="B630" s="23" t="s">
        <v>3813</v>
      </c>
      <c r="C630" s="23"/>
      <c r="D630" s="23" t="s">
        <v>2848</v>
      </c>
      <c r="E630" s="4" t="s">
        <v>2849</v>
      </c>
    </row>
    <row r="631" spans="1:5" x14ac:dyDescent="0.25">
      <c r="A631" s="2" t="s">
        <v>3814</v>
      </c>
      <c r="B631" s="23" t="s">
        <v>3815</v>
      </c>
      <c r="C631" s="23"/>
      <c r="D631" s="23" t="s">
        <v>2848</v>
      </c>
      <c r="E631" s="4" t="s">
        <v>2849</v>
      </c>
    </row>
    <row r="632" spans="1:5" x14ac:dyDescent="0.25">
      <c r="A632" s="2" t="s">
        <v>3816</v>
      </c>
      <c r="B632" s="23" t="s">
        <v>3817</v>
      </c>
      <c r="C632" s="23"/>
      <c r="D632" s="23" t="s">
        <v>2848</v>
      </c>
      <c r="E632" s="4" t="s">
        <v>2849</v>
      </c>
    </row>
    <row r="633" spans="1:5" x14ac:dyDescent="0.25">
      <c r="A633" s="2" t="s">
        <v>3818</v>
      </c>
      <c r="B633" s="23" t="s">
        <v>3819</v>
      </c>
      <c r="C633" s="23"/>
      <c r="D633" s="23" t="s">
        <v>2848</v>
      </c>
      <c r="E633" s="4" t="s">
        <v>2849</v>
      </c>
    </row>
    <row r="634" spans="1:5" x14ac:dyDescent="0.25">
      <c r="A634" s="2" t="s">
        <v>3820</v>
      </c>
      <c r="B634" s="23" t="s">
        <v>3821</v>
      </c>
      <c r="C634" s="23"/>
      <c r="D634" s="23" t="s">
        <v>2848</v>
      </c>
      <c r="E634" s="4" t="s">
        <v>2849</v>
      </c>
    </row>
    <row r="635" spans="1:5" x14ac:dyDescent="0.25">
      <c r="A635" s="2" t="s">
        <v>3822</v>
      </c>
      <c r="B635" s="23" t="s">
        <v>3823</v>
      </c>
      <c r="C635" s="23"/>
      <c r="D635" s="23" t="s">
        <v>2848</v>
      </c>
      <c r="E635" s="4" t="s">
        <v>2849</v>
      </c>
    </row>
    <row r="636" spans="1:5" x14ac:dyDescent="0.25">
      <c r="A636" s="2" t="s">
        <v>3824</v>
      </c>
      <c r="B636" s="23" t="s">
        <v>3825</v>
      </c>
      <c r="C636" s="23"/>
      <c r="D636" s="23" t="s">
        <v>1696</v>
      </c>
      <c r="E636" s="4" t="s">
        <v>2849</v>
      </c>
    </row>
    <row r="637" spans="1:5" x14ac:dyDescent="0.25">
      <c r="A637" s="2" t="s">
        <v>1957</v>
      </c>
      <c r="B637" s="23" t="s">
        <v>3826</v>
      </c>
      <c r="C637" s="23" t="s">
        <v>1958</v>
      </c>
      <c r="D637" s="23" t="s">
        <v>1696</v>
      </c>
      <c r="E637" s="4" t="s">
        <v>2849</v>
      </c>
    </row>
    <row r="638" spans="1:5" x14ac:dyDescent="0.25">
      <c r="A638" s="2" t="s">
        <v>3827</v>
      </c>
      <c r="B638" s="23" t="s">
        <v>3828</v>
      </c>
      <c r="C638" s="23"/>
      <c r="D638" s="23" t="s">
        <v>1696</v>
      </c>
      <c r="E638" s="4" t="s">
        <v>2849</v>
      </c>
    </row>
    <row r="639" spans="1:5" x14ac:dyDescent="0.25">
      <c r="A639" s="2" t="s">
        <v>3829</v>
      </c>
      <c r="B639" s="23" t="s">
        <v>3830</v>
      </c>
      <c r="C639" s="23"/>
      <c r="D639" s="23" t="s">
        <v>1696</v>
      </c>
      <c r="E639" s="4" t="s">
        <v>2849</v>
      </c>
    </row>
    <row r="640" spans="1:5" x14ac:dyDescent="0.25">
      <c r="A640" s="2" t="s">
        <v>3831</v>
      </c>
      <c r="B640" s="23" t="s">
        <v>3832</v>
      </c>
      <c r="C640" s="23"/>
      <c r="D640" s="23" t="s">
        <v>1696</v>
      </c>
      <c r="E640" s="4" t="s">
        <v>2849</v>
      </c>
    </row>
    <row r="641" spans="1:5" x14ac:dyDescent="0.25">
      <c r="A641" s="2" t="s">
        <v>3833</v>
      </c>
      <c r="B641" s="23" t="s">
        <v>3834</v>
      </c>
      <c r="C641" s="23"/>
      <c r="D641" s="23" t="s">
        <v>1696</v>
      </c>
      <c r="E641" s="4" t="s">
        <v>2849</v>
      </c>
    </row>
    <row r="642" spans="1:5" x14ac:dyDescent="0.25">
      <c r="A642" s="2" t="s">
        <v>3835</v>
      </c>
      <c r="B642" s="23" t="s">
        <v>3836</v>
      </c>
      <c r="C642" s="23"/>
      <c r="D642" s="23" t="s">
        <v>1696</v>
      </c>
      <c r="E642" s="4" t="s">
        <v>2849</v>
      </c>
    </row>
    <row r="643" spans="1:5" x14ac:dyDescent="0.25">
      <c r="A643" s="2" t="s">
        <v>1205</v>
      </c>
      <c r="B643" s="23"/>
      <c r="C643" s="23" t="s">
        <v>1206</v>
      </c>
      <c r="D643" s="23" t="s">
        <v>41</v>
      </c>
      <c r="E643" s="4" t="s">
        <v>2882</v>
      </c>
    </row>
    <row r="644" spans="1:5" x14ac:dyDescent="0.25">
      <c r="A644" s="2" t="s">
        <v>1969</v>
      </c>
      <c r="B644" s="23" t="s">
        <v>1970</v>
      </c>
      <c r="C644" s="23"/>
      <c r="D644" s="23" t="s">
        <v>1696</v>
      </c>
      <c r="E644" s="4" t="s">
        <v>2849</v>
      </c>
    </row>
    <row r="645" spans="1:5" x14ac:dyDescent="0.25">
      <c r="A645" s="2" t="s">
        <v>1964</v>
      </c>
      <c r="B645" s="23" t="s">
        <v>3837</v>
      </c>
      <c r="C645" s="23" t="s">
        <v>1963</v>
      </c>
      <c r="D645" s="23" t="s">
        <v>1696</v>
      </c>
      <c r="E645" s="4" t="s">
        <v>2849</v>
      </c>
    </row>
    <row r="646" spans="1:5" x14ac:dyDescent="0.25">
      <c r="A646" s="2" t="s">
        <v>1947</v>
      </c>
      <c r="B646" s="23" t="s">
        <v>3838</v>
      </c>
      <c r="C646" s="23" t="s">
        <v>1948</v>
      </c>
      <c r="D646" s="23" t="s">
        <v>1696</v>
      </c>
      <c r="E646" s="4" t="s">
        <v>2849</v>
      </c>
    </row>
    <row r="647" spans="1:5" x14ac:dyDescent="0.25">
      <c r="A647" s="2" t="s">
        <v>3839</v>
      </c>
      <c r="B647" s="23" t="s">
        <v>3840</v>
      </c>
      <c r="C647" s="23"/>
      <c r="D647" s="23" t="s">
        <v>1696</v>
      </c>
      <c r="E647" s="4" t="s">
        <v>2849</v>
      </c>
    </row>
    <row r="648" spans="1:5" x14ac:dyDescent="0.25">
      <c r="A648" s="2" t="s">
        <v>1693</v>
      </c>
      <c r="B648" s="23" t="s">
        <v>3841</v>
      </c>
      <c r="C648" s="23" t="s">
        <v>1694</v>
      </c>
      <c r="D648" s="23" t="s">
        <v>1696</v>
      </c>
      <c r="E648" s="4" t="s">
        <v>2849</v>
      </c>
    </row>
    <row r="649" spans="1:5" x14ac:dyDescent="0.25">
      <c r="A649" s="2" t="s">
        <v>3842</v>
      </c>
      <c r="B649" s="23" t="s">
        <v>3843</v>
      </c>
      <c r="C649" s="23"/>
      <c r="D649" s="23" t="s">
        <v>2848</v>
      </c>
      <c r="E649" s="4" t="s">
        <v>2849</v>
      </c>
    </row>
    <row r="650" spans="1:5" x14ac:dyDescent="0.25">
      <c r="A650" s="2" t="s">
        <v>496</v>
      </c>
      <c r="B650" s="23" t="s">
        <v>3844</v>
      </c>
      <c r="C650" s="23" t="s">
        <v>497</v>
      </c>
      <c r="D650" s="23" t="s">
        <v>2848</v>
      </c>
      <c r="E650" s="4" t="s">
        <v>2849</v>
      </c>
    </row>
    <row r="651" spans="1:5" x14ac:dyDescent="0.25">
      <c r="A651" s="2" t="s">
        <v>3845</v>
      </c>
      <c r="B651" s="23" t="s">
        <v>3846</v>
      </c>
      <c r="C651" s="23"/>
      <c r="D651" s="23" t="s">
        <v>1451</v>
      </c>
      <c r="E651" s="4" t="s">
        <v>2849</v>
      </c>
    </row>
    <row r="652" spans="1:5" x14ac:dyDescent="0.25">
      <c r="A652" s="2" t="s">
        <v>3847</v>
      </c>
      <c r="B652" s="23" t="s">
        <v>3848</v>
      </c>
      <c r="C652" s="23"/>
      <c r="D652" s="23" t="s">
        <v>1451</v>
      </c>
      <c r="E652" s="4" t="s">
        <v>2849</v>
      </c>
    </row>
    <row r="653" spans="1:5" x14ac:dyDescent="0.25">
      <c r="A653" s="2" t="s">
        <v>3849</v>
      </c>
      <c r="B653" s="23" t="s">
        <v>3850</v>
      </c>
      <c r="C653" s="23"/>
      <c r="D653" s="23" t="s">
        <v>1451</v>
      </c>
      <c r="E653" s="4" t="s">
        <v>2849</v>
      </c>
    </row>
    <row r="654" spans="1:5" x14ac:dyDescent="0.25">
      <c r="A654" s="2" t="s">
        <v>3851</v>
      </c>
      <c r="B654" s="23" t="s">
        <v>3852</v>
      </c>
      <c r="C654" s="23"/>
      <c r="D654" s="23" t="s">
        <v>1451</v>
      </c>
      <c r="E654" s="4" t="s">
        <v>2849</v>
      </c>
    </row>
    <row r="655" spans="1:5" x14ac:dyDescent="0.25">
      <c r="A655" s="2" t="s">
        <v>1637</v>
      </c>
      <c r="B655" s="23" t="s">
        <v>3853</v>
      </c>
      <c r="C655" s="23" t="s">
        <v>1638</v>
      </c>
      <c r="D655" s="23" t="s">
        <v>1451</v>
      </c>
      <c r="E655" s="4" t="s">
        <v>2849</v>
      </c>
    </row>
    <row r="656" spans="1:5" x14ac:dyDescent="0.25">
      <c r="A656" s="2" t="s">
        <v>3854</v>
      </c>
      <c r="B656" s="23" t="s">
        <v>3855</v>
      </c>
      <c r="C656" s="23"/>
      <c r="D656" s="23" t="s">
        <v>1451</v>
      </c>
      <c r="E656" s="4" t="s">
        <v>2849</v>
      </c>
    </row>
    <row r="657" spans="1:5" x14ac:dyDescent="0.25">
      <c r="A657" s="2" t="s">
        <v>3856</v>
      </c>
      <c r="B657" s="23" t="s">
        <v>3857</v>
      </c>
      <c r="C657" s="23"/>
      <c r="D657" s="23" t="s">
        <v>1451</v>
      </c>
      <c r="E657" s="4" t="s">
        <v>2849</v>
      </c>
    </row>
    <row r="658" spans="1:5" x14ac:dyDescent="0.25">
      <c r="A658" s="2" t="s">
        <v>3858</v>
      </c>
      <c r="B658" s="23" t="s">
        <v>3859</v>
      </c>
      <c r="C658" s="23"/>
      <c r="D658" s="23" t="s">
        <v>1451</v>
      </c>
      <c r="E658" s="4" t="s">
        <v>2849</v>
      </c>
    </row>
    <row r="659" spans="1:5" x14ac:dyDescent="0.25">
      <c r="A659" s="2" t="s">
        <v>3860</v>
      </c>
      <c r="B659" s="23" t="s">
        <v>3861</v>
      </c>
      <c r="C659" s="23"/>
      <c r="D659" s="23" t="s">
        <v>1451</v>
      </c>
      <c r="E659" s="4" t="s">
        <v>2849</v>
      </c>
    </row>
    <row r="660" spans="1:5" x14ac:dyDescent="0.25">
      <c r="A660" s="2" t="s">
        <v>3862</v>
      </c>
      <c r="B660" s="23" t="s">
        <v>3863</v>
      </c>
      <c r="C660" s="23"/>
      <c r="D660" s="23" t="s">
        <v>1451</v>
      </c>
      <c r="E660" s="4" t="s">
        <v>2849</v>
      </c>
    </row>
    <row r="661" spans="1:5" x14ac:dyDescent="0.25">
      <c r="A661" s="2" t="s">
        <v>3864</v>
      </c>
      <c r="B661" s="23" t="s">
        <v>3865</v>
      </c>
      <c r="C661" s="23"/>
      <c r="D661" s="23" t="s">
        <v>1451</v>
      </c>
      <c r="E661" s="4" t="s">
        <v>2849</v>
      </c>
    </row>
    <row r="662" spans="1:5" x14ac:dyDescent="0.25">
      <c r="A662" s="2" t="s">
        <v>3866</v>
      </c>
      <c r="B662" s="23" t="s">
        <v>3867</v>
      </c>
      <c r="C662" s="23"/>
      <c r="D662" s="23" t="s">
        <v>1451</v>
      </c>
      <c r="E662" s="4" t="s">
        <v>2849</v>
      </c>
    </row>
    <row r="663" spans="1:5" x14ac:dyDescent="0.25">
      <c r="A663" s="2" t="s">
        <v>3868</v>
      </c>
      <c r="B663" s="23" t="s">
        <v>3869</v>
      </c>
      <c r="C663" s="23"/>
      <c r="D663" s="23" t="s">
        <v>1451</v>
      </c>
      <c r="E663" s="4" t="s">
        <v>2849</v>
      </c>
    </row>
    <row r="664" spans="1:5" x14ac:dyDescent="0.25">
      <c r="A664" s="2" t="s">
        <v>3870</v>
      </c>
      <c r="B664" s="23" t="s">
        <v>3871</v>
      </c>
      <c r="C664" s="23"/>
      <c r="D664" s="23" t="s">
        <v>1451</v>
      </c>
      <c r="E664" s="4" t="s">
        <v>2849</v>
      </c>
    </row>
    <row r="665" spans="1:5" x14ac:dyDescent="0.25">
      <c r="A665" s="2" t="s">
        <v>3872</v>
      </c>
      <c r="B665" s="23" t="s">
        <v>3873</v>
      </c>
      <c r="C665" s="23"/>
      <c r="D665" s="23" t="s">
        <v>1451</v>
      </c>
      <c r="E665" s="4" t="s">
        <v>2849</v>
      </c>
    </row>
    <row r="666" spans="1:5" x14ac:dyDescent="0.25">
      <c r="A666" s="2" t="s">
        <v>1449</v>
      </c>
      <c r="B666" s="23" t="s">
        <v>3874</v>
      </c>
      <c r="C666" s="23" t="s">
        <v>1450</v>
      </c>
      <c r="D666" s="23" t="s">
        <v>1451</v>
      </c>
      <c r="E666" s="4" t="s">
        <v>2849</v>
      </c>
    </row>
    <row r="667" spans="1:5" x14ac:dyDescent="0.25">
      <c r="A667" s="2" t="s">
        <v>3875</v>
      </c>
      <c r="B667" s="23" t="s">
        <v>3876</v>
      </c>
      <c r="C667" s="23"/>
      <c r="D667" s="23" t="s">
        <v>1451</v>
      </c>
      <c r="E667" s="4" t="s">
        <v>2849</v>
      </c>
    </row>
    <row r="668" spans="1:5" x14ac:dyDescent="0.25">
      <c r="A668" s="2" t="s">
        <v>3877</v>
      </c>
      <c r="B668" s="23" t="s">
        <v>3878</v>
      </c>
      <c r="C668" s="23"/>
      <c r="D668" s="23" t="s">
        <v>1451</v>
      </c>
      <c r="E668" s="4" t="s">
        <v>2849</v>
      </c>
    </row>
    <row r="669" spans="1:5" x14ac:dyDescent="0.25">
      <c r="A669" s="2" t="s">
        <v>3879</v>
      </c>
      <c r="B669" s="23" t="s">
        <v>3880</v>
      </c>
      <c r="C669" s="23"/>
      <c r="D669" s="23" t="s">
        <v>1451</v>
      </c>
      <c r="E669" s="4" t="s">
        <v>2849</v>
      </c>
    </row>
    <row r="670" spans="1:5" x14ac:dyDescent="0.25">
      <c r="A670" s="2" t="s">
        <v>3881</v>
      </c>
      <c r="B670" s="23" t="s">
        <v>3882</v>
      </c>
      <c r="C670" s="23"/>
      <c r="D670" s="23" t="s">
        <v>1451</v>
      </c>
      <c r="E670" s="4" t="s">
        <v>2849</v>
      </c>
    </row>
    <row r="671" spans="1:5" x14ac:dyDescent="0.25">
      <c r="A671" s="2" t="s">
        <v>3883</v>
      </c>
      <c r="B671" s="23" t="s">
        <v>3884</v>
      </c>
      <c r="C671" s="23"/>
      <c r="D671" s="23" t="s">
        <v>1451</v>
      </c>
      <c r="E671" s="4" t="s">
        <v>2849</v>
      </c>
    </row>
    <row r="672" spans="1:5" x14ac:dyDescent="0.25">
      <c r="A672" s="2" t="s">
        <v>3885</v>
      </c>
      <c r="B672" s="23" t="s">
        <v>3886</v>
      </c>
      <c r="C672" s="23"/>
      <c r="D672" s="23" t="s">
        <v>1451</v>
      </c>
      <c r="E672" s="4" t="s">
        <v>2849</v>
      </c>
    </row>
    <row r="673" spans="1:5" x14ac:dyDescent="0.25">
      <c r="A673" s="2" t="s">
        <v>3887</v>
      </c>
      <c r="B673" s="23" t="s">
        <v>3584</v>
      </c>
      <c r="C673" s="23"/>
      <c r="D673" s="23" t="s">
        <v>2848</v>
      </c>
      <c r="E673" s="4" t="s">
        <v>2849</v>
      </c>
    </row>
    <row r="674" spans="1:5" x14ac:dyDescent="0.25">
      <c r="A674" s="2" t="s">
        <v>3888</v>
      </c>
      <c r="B674" s="23" t="s">
        <v>3889</v>
      </c>
      <c r="C674" s="23"/>
      <c r="D674" s="23" t="s">
        <v>2848</v>
      </c>
      <c r="E674" s="4" t="s">
        <v>2849</v>
      </c>
    </row>
    <row r="675" spans="1:5" x14ac:dyDescent="0.25">
      <c r="A675" s="2" t="s">
        <v>3890</v>
      </c>
      <c r="B675" s="23" t="s">
        <v>3891</v>
      </c>
      <c r="C675" s="23"/>
      <c r="D675" s="23" t="s">
        <v>1451</v>
      </c>
      <c r="E675" s="4" t="s">
        <v>2849</v>
      </c>
    </row>
    <row r="676" spans="1:5" x14ac:dyDescent="0.25">
      <c r="A676" s="2" t="s">
        <v>3892</v>
      </c>
      <c r="B676" s="23" t="s">
        <v>3893</v>
      </c>
      <c r="C676" s="23"/>
      <c r="D676" s="23" t="s">
        <v>2848</v>
      </c>
      <c r="E676" s="4" t="s">
        <v>2849</v>
      </c>
    </row>
    <row r="677" spans="1:5" x14ac:dyDescent="0.25">
      <c r="A677" s="2" t="s">
        <v>3894</v>
      </c>
      <c r="B677" s="23" t="s">
        <v>3895</v>
      </c>
      <c r="C677" s="23"/>
      <c r="D677" s="23" t="s">
        <v>1451</v>
      </c>
      <c r="E677" s="4" t="s">
        <v>2849</v>
      </c>
    </row>
    <row r="678" spans="1:5" x14ac:dyDescent="0.25">
      <c r="A678" s="2" t="s">
        <v>3896</v>
      </c>
      <c r="B678" s="23" t="s">
        <v>3897</v>
      </c>
      <c r="C678" s="23"/>
      <c r="D678" s="23" t="s">
        <v>1451</v>
      </c>
      <c r="E678" s="4" t="s">
        <v>2849</v>
      </c>
    </row>
    <row r="679" spans="1:5" x14ac:dyDescent="0.25">
      <c r="A679" s="2" t="s">
        <v>3898</v>
      </c>
      <c r="B679" s="23" t="s">
        <v>3899</v>
      </c>
      <c r="C679" s="23"/>
      <c r="D679" s="23" t="s">
        <v>1451</v>
      </c>
      <c r="E679" s="4" t="s">
        <v>2849</v>
      </c>
    </row>
    <row r="680" spans="1:5" x14ac:dyDescent="0.25">
      <c r="A680" s="2" t="s">
        <v>3900</v>
      </c>
      <c r="B680" s="23" t="s">
        <v>3901</v>
      </c>
      <c r="C680" s="23"/>
      <c r="D680" s="23" t="s">
        <v>2848</v>
      </c>
      <c r="E680" s="4" t="s">
        <v>2849</v>
      </c>
    </row>
    <row r="681" spans="1:5" x14ac:dyDescent="0.25">
      <c r="A681" s="2" t="s">
        <v>3902</v>
      </c>
      <c r="B681" s="23" t="s">
        <v>3903</v>
      </c>
      <c r="C681" s="23"/>
      <c r="D681" s="23" t="s">
        <v>1451</v>
      </c>
      <c r="E681" s="4" t="s">
        <v>2849</v>
      </c>
    </row>
    <row r="682" spans="1:5" x14ac:dyDescent="0.25">
      <c r="A682" s="2" t="s">
        <v>3904</v>
      </c>
      <c r="B682" s="23" t="s">
        <v>3905</v>
      </c>
      <c r="C682" s="23"/>
      <c r="D682" s="23" t="s">
        <v>1451</v>
      </c>
      <c r="E682" s="4" t="s">
        <v>2849</v>
      </c>
    </row>
    <row r="683" spans="1:5" x14ac:dyDescent="0.25">
      <c r="A683" s="2" t="s">
        <v>3906</v>
      </c>
      <c r="B683" s="23" t="s">
        <v>3907</v>
      </c>
      <c r="C683" s="23"/>
      <c r="D683" s="23" t="s">
        <v>2848</v>
      </c>
      <c r="E683" s="4" t="s">
        <v>2849</v>
      </c>
    </row>
    <row r="684" spans="1:5" x14ac:dyDescent="0.25">
      <c r="A684" s="2" t="s">
        <v>3908</v>
      </c>
      <c r="B684" s="23" t="s">
        <v>3909</v>
      </c>
      <c r="C684" s="23"/>
      <c r="D684" s="23" t="s">
        <v>2848</v>
      </c>
      <c r="E684" s="4" t="s">
        <v>2849</v>
      </c>
    </row>
    <row r="685" spans="1:5" x14ac:dyDescent="0.25">
      <c r="A685" s="2" t="s">
        <v>951</v>
      </c>
      <c r="B685" s="23" t="s">
        <v>952</v>
      </c>
      <c r="C685" s="23" t="s">
        <v>952</v>
      </c>
      <c r="D685" s="23" t="s">
        <v>2848</v>
      </c>
      <c r="E685" s="4" t="s">
        <v>2849</v>
      </c>
    </row>
    <row r="686" spans="1:5" x14ac:dyDescent="0.25">
      <c r="A686" s="2" t="s">
        <v>3910</v>
      </c>
      <c r="B686" s="23" t="s">
        <v>3911</v>
      </c>
      <c r="C686" s="23"/>
      <c r="D686" s="23" t="s">
        <v>2848</v>
      </c>
      <c r="E686" s="4" t="s">
        <v>2849</v>
      </c>
    </row>
    <row r="687" spans="1:5" x14ac:dyDescent="0.25">
      <c r="A687" s="2" t="s">
        <v>3912</v>
      </c>
      <c r="B687" s="23" t="s">
        <v>3913</v>
      </c>
      <c r="C687" s="23"/>
      <c r="D687" s="23" t="s">
        <v>2848</v>
      </c>
      <c r="E687" s="4" t="s">
        <v>2849</v>
      </c>
    </row>
    <row r="688" spans="1:5" x14ac:dyDescent="0.25">
      <c r="A688" s="2" t="s">
        <v>3914</v>
      </c>
      <c r="B688" s="23" t="s">
        <v>3915</v>
      </c>
      <c r="C688" s="23"/>
      <c r="D688" s="23" t="s">
        <v>2848</v>
      </c>
      <c r="E688" s="4" t="s">
        <v>2849</v>
      </c>
    </row>
    <row r="689" spans="1:5" x14ac:dyDescent="0.25">
      <c r="A689" s="2" t="s">
        <v>3916</v>
      </c>
      <c r="B689" s="23" t="s">
        <v>3917</v>
      </c>
      <c r="C689" s="23"/>
      <c r="D689" s="23" t="s">
        <v>2848</v>
      </c>
      <c r="E689" s="4" t="s">
        <v>2849</v>
      </c>
    </row>
    <row r="690" spans="1:5" x14ac:dyDescent="0.25">
      <c r="A690" s="2" t="s">
        <v>3918</v>
      </c>
      <c r="B690" s="23" t="s">
        <v>3919</v>
      </c>
      <c r="C690" s="23"/>
      <c r="D690" s="23" t="s">
        <v>2848</v>
      </c>
      <c r="E690" s="4" t="s">
        <v>2849</v>
      </c>
    </row>
    <row r="691" spans="1:5" x14ac:dyDescent="0.25">
      <c r="A691" s="2" t="s">
        <v>3920</v>
      </c>
      <c r="B691" s="23" t="s">
        <v>3921</v>
      </c>
      <c r="C691" s="23"/>
      <c r="D691" s="23" t="s">
        <v>2848</v>
      </c>
      <c r="E691" s="4" t="s">
        <v>2849</v>
      </c>
    </row>
    <row r="692" spans="1:5" x14ac:dyDescent="0.25">
      <c r="A692" s="2" t="s">
        <v>3922</v>
      </c>
      <c r="B692" s="23" t="s">
        <v>3923</v>
      </c>
      <c r="C692" s="23"/>
      <c r="D692" s="23" t="s">
        <v>2848</v>
      </c>
      <c r="E692" s="4" t="s">
        <v>2849</v>
      </c>
    </row>
    <row r="693" spans="1:5" x14ac:dyDescent="0.25">
      <c r="A693" s="2" t="s">
        <v>3924</v>
      </c>
      <c r="B693" s="23" t="s">
        <v>3925</v>
      </c>
      <c r="C693" s="23"/>
      <c r="D693" s="23" t="s">
        <v>2848</v>
      </c>
      <c r="E693" s="4" t="s">
        <v>2849</v>
      </c>
    </row>
    <row r="694" spans="1:5" x14ac:dyDescent="0.25">
      <c r="A694" s="2" t="s">
        <v>3926</v>
      </c>
      <c r="B694" s="23" t="s">
        <v>3927</v>
      </c>
      <c r="C694" s="23"/>
      <c r="D694" s="23" t="s">
        <v>2848</v>
      </c>
      <c r="E694" s="4" t="s">
        <v>2849</v>
      </c>
    </row>
    <row r="695" spans="1:5" x14ac:dyDescent="0.25">
      <c r="A695" s="2" t="s">
        <v>3928</v>
      </c>
      <c r="B695" s="23" t="s">
        <v>3929</v>
      </c>
      <c r="C695" s="23"/>
      <c r="D695" s="23" t="s">
        <v>2848</v>
      </c>
      <c r="E695" s="4" t="s">
        <v>2849</v>
      </c>
    </row>
    <row r="696" spans="1:5" x14ac:dyDescent="0.25">
      <c r="A696" s="2" t="s">
        <v>3930</v>
      </c>
      <c r="B696" s="23" t="s">
        <v>3931</v>
      </c>
      <c r="C696" s="23"/>
      <c r="D696" s="23" t="s">
        <v>2848</v>
      </c>
      <c r="E696" s="4" t="s">
        <v>2849</v>
      </c>
    </row>
    <row r="697" spans="1:5" x14ac:dyDescent="0.25">
      <c r="A697" s="2" t="s">
        <v>3932</v>
      </c>
      <c r="B697" s="23" t="s">
        <v>3933</v>
      </c>
      <c r="C697" s="23"/>
      <c r="D697" s="23" t="s">
        <v>2848</v>
      </c>
      <c r="E697" s="4" t="s">
        <v>2849</v>
      </c>
    </row>
    <row r="698" spans="1:5" x14ac:dyDescent="0.25">
      <c r="A698" s="2" t="s">
        <v>3934</v>
      </c>
      <c r="B698" s="23" t="s">
        <v>3935</v>
      </c>
      <c r="C698" s="23"/>
      <c r="D698" s="23" t="s">
        <v>2848</v>
      </c>
      <c r="E698" s="4" t="s">
        <v>2849</v>
      </c>
    </row>
    <row r="699" spans="1:5" x14ac:dyDescent="0.25">
      <c r="A699" s="2" t="s">
        <v>3936</v>
      </c>
      <c r="B699" s="23" t="s">
        <v>3937</v>
      </c>
      <c r="C699" s="23"/>
      <c r="D699" s="23" t="s">
        <v>2848</v>
      </c>
      <c r="E699" s="4" t="s">
        <v>2849</v>
      </c>
    </row>
    <row r="700" spans="1:5" x14ac:dyDescent="0.25">
      <c r="A700" s="2" t="s">
        <v>3938</v>
      </c>
      <c r="B700" s="23" t="s">
        <v>3939</v>
      </c>
      <c r="C700" s="23"/>
      <c r="D700" s="23" t="s">
        <v>2848</v>
      </c>
      <c r="E700" s="4" t="s">
        <v>2849</v>
      </c>
    </row>
    <row r="701" spans="1:5" x14ac:dyDescent="0.25">
      <c r="A701" s="2" t="s">
        <v>3940</v>
      </c>
      <c r="B701" s="23" t="s">
        <v>3941</v>
      </c>
      <c r="C701" s="23"/>
      <c r="D701" s="23" t="s">
        <v>2848</v>
      </c>
      <c r="E701" s="4" t="s">
        <v>2849</v>
      </c>
    </row>
    <row r="702" spans="1:5" x14ac:dyDescent="0.25">
      <c r="A702" s="2" t="s">
        <v>3942</v>
      </c>
      <c r="B702" s="23" t="s">
        <v>3943</v>
      </c>
      <c r="C702" s="23"/>
      <c r="D702" s="23" t="s">
        <v>2848</v>
      </c>
      <c r="E702" s="4" t="s">
        <v>2849</v>
      </c>
    </row>
    <row r="703" spans="1:5" x14ac:dyDescent="0.25">
      <c r="A703" s="2" t="s">
        <v>3944</v>
      </c>
      <c r="B703" s="23" t="s">
        <v>3945</v>
      </c>
      <c r="C703" s="23"/>
      <c r="D703" s="23" t="s">
        <v>2848</v>
      </c>
      <c r="E703" s="4" t="s">
        <v>2849</v>
      </c>
    </row>
    <row r="704" spans="1:5" x14ac:dyDescent="0.25">
      <c r="A704" s="2" t="s">
        <v>3946</v>
      </c>
      <c r="B704" s="23" t="s">
        <v>3947</v>
      </c>
      <c r="C704" s="23"/>
      <c r="D704" s="23" t="s">
        <v>2848</v>
      </c>
      <c r="E704" s="4" t="s">
        <v>2849</v>
      </c>
    </row>
    <row r="705" spans="1:5" x14ac:dyDescent="0.25">
      <c r="A705" s="2" t="s">
        <v>3948</v>
      </c>
      <c r="B705" s="23" t="s">
        <v>3949</v>
      </c>
      <c r="C705" s="23"/>
      <c r="D705" s="23" t="s">
        <v>2848</v>
      </c>
      <c r="E705" s="4" t="s">
        <v>2849</v>
      </c>
    </row>
    <row r="706" spans="1:5" x14ac:dyDescent="0.25">
      <c r="A706" s="2" t="s">
        <v>3950</v>
      </c>
      <c r="B706" s="23" t="s">
        <v>3951</v>
      </c>
      <c r="C706" s="23"/>
      <c r="D706" s="23" t="s">
        <v>2848</v>
      </c>
      <c r="E706" s="4" t="s">
        <v>2849</v>
      </c>
    </row>
    <row r="707" spans="1:5" x14ac:dyDescent="0.25">
      <c r="A707" s="2" t="s">
        <v>3952</v>
      </c>
      <c r="B707" s="23" t="s">
        <v>3953</v>
      </c>
      <c r="C707" s="23"/>
      <c r="D707" s="23" t="s">
        <v>2848</v>
      </c>
      <c r="E707" s="4" t="s">
        <v>2849</v>
      </c>
    </row>
    <row r="708" spans="1:5" x14ac:dyDescent="0.25">
      <c r="A708" s="2" t="s">
        <v>3954</v>
      </c>
      <c r="B708" s="23" t="s">
        <v>3955</v>
      </c>
      <c r="C708" s="23"/>
      <c r="D708" s="23" t="s">
        <v>2848</v>
      </c>
      <c r="E708" s="4" t="s">
        <v>2849</v>
      </c>
    </row>
  </sheetData>
  <autoFilter ref="A4:E708" xr:uid="{00000000-0009-0000-0000-000006000000}"/>
  <pageMargins left="0.75" right="0.75" top="1" bottom="1" header="0.5" footer="0.5"/>
  <pageSetup paperSize="9" fitToHeight="0" orientation="landscape"/>
  <headerFooter>
    <oddFooter>&amp;C&amp;8 &amp;A – Seite &amp;P von &amp;N</oddFooter>
  </headerFooter>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Mapping</vt:lpstr>
      <vt:lpstr>Zusammenfassung</vt:lpstr>
      <vt:lpstr>Neuanlagen</vt:lpstr>
      <vt:lpstr>Positionszuordnung</vt:lpstr>
      <vt:lpstr>Sammelkonten</vt:lpstr>
      <vt:lpstr>Hinweise</vt:lpstr>
      <vt:lpstr>YCOA-Konten</vt:lpstr>
      <vt:lpstr>Mapping!Print_Titles</vt:lpstr>
      <vt:lpstr>Neuanlagen!Print_Titles</vt:lpstr>
      <vt:lpstr>Positionszuordnung!Print_Titles</vt:lpstr>
      <vt:lpstr>Sammelkonten!Print_Titles</vt:lpstr>
      <vt:lpstr>'YCOA-Konten'!Print_Titles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Goethel, Moritz</cp:lastModifiedBy>
  <dcterms:created xsi:type="dcterms:W3CDTF">2026-10-02T10:02:41Z</dcterms:created>
  <dcterms:modified xsi:type="dcterms:W3CDTF">2026-10-02T20:27:50Z</dcterms:modified>
</cp:coreProperties>
</file>